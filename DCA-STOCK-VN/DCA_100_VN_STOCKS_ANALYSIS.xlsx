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A_Summary_Dashboard" sheetId="1" state="visible" r:id="rId1"/>
    <sheet name="Weekly_Prices_VND" sheetId="2" state="visible" r:id="rId2"/>
    <sheet name="Weekly_Shares_Bou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₫"/>
    <numFmt numFmtId="165" formatCode="+#,##0 ₫;-#,##0 ₫;0 ₫"/>
    <numFmt numFmtId="166" formatCode="+0.00%;-0.00%;0.0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0E0"/>
      <sz val="10"/>
    </font>
    <font>
      <name val="Segoe UI"/>
      <b val="1"/>
      <color rgb="0064748B"/>
      <sz val="9"/>
    </font>
    <font>
      <name val="Segoe UI"/>
      <b val="1"/>
      <color rgb="001E293B"/>
      <sz val="14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92400E"/>
      <sz val="10"/>
    </font>
    <font>
      <name val="Segoe UI"/>
      <b val="1"/>
      <color rgb="00155724"/>
      <sz val="10"/>
    </font>
    <font>
      <name val="Segoe UI"/>
      <color rgb="00000000"/>
      <sz val="10"/>
    </font>
    <font>
      <name val="Segoe UI"/>
      <b val="1"/>
      <color rgb="00721C24"/>
      <sz val="10"/>
    </font>
    <font>
      <name val="Segoe UI"/>
      <b val="1"/>
      <color rgb="001E40AF"/>
      <sz val="10"/>
    </font>
    <font>
      <name val="Segoe UI"/>
      <b val="1"/>
      <color rgb="009F1239"/>
      <sz val="10"/>
    </font>
    <font>
      <name val="Segoe UI"/>
      <b val="1"/>
      <color rgb="001E293B"/>
      <sz val="10"/>
    </font>
    <font>
      <name val="Segoe UI"/>
      <b val="1"/>
      <color rgb="00065F46"/>
      <sz val="10"/>
    </font>
    <font>
      <name val="Segoe UI"/>
      <b val="1"/>
      <color rgb="009A3412"/>
      <sz val="10"/>
    </font>
    <font>
      <name val="Segoe UI"/>
      <b val="1"/>
      <color rgb="000369A1"/>
      <sz val="10"/>
    </font>
    <font>
      <name val="Segoe UI"/>
      <b val="1"/>
      <color rgb="005B21B6"/>
      <sz val="10"/>
    </font>
  </fonts>
  <fills count="2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E7DD"/>
        <bgColor rgb="00D1E7DD"/>
      </patternFill>
    </fill>
    <fill>
      <patternFill patternType="solid">
        <fgColor rgb="00FFFBEB"/>
        <bgColor rgb="00FFFBEB"/>
      </patternFill>
    </fill>
    <fill>
      <patternFill patternType="solid">
        <fgColor rgb="00F8D7DA"/>
        <bgColor rgb="00F8D7DA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FFE4E6"/>
        <bgColor rgb="00FFE4E6"/>
      </patternFill>
    </fill>
    <fill>
      <patternFill patternType="solid">
        <fgColor rgb="00FFF1F2"/>
        <bgColor rgb="00FFF1F2"/>
      </patternFill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ECFDF5"/>
        <bgColor rgb="00ECFDF5"/>
      </patternFill>
    </fill>
    <fill>
      <patternFill patternType="solid">
        <fgColor rgb="00FFEDD5"/>
        <bgColor rgb="00FFEDD5"/>
      </patternFill>
    </fill>
    <fill>
      <patternFill patternType="solid">
        <fgColor rgb="00FFF7ED"/>
        <bgColor rgb="00FFF7ED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  <fill>
      <patternFill patternType="solid">
        <fgColor rgb="00EDE9FE"/>
        <bgColor rgb="00EDE9FE"/>
      </patternFill>
    </fill>
    <fill>
      <patternFill patternType="solid">
        <fgColor rgb="00F5F3FF"/>
        <bgColor rgb="00F5F3FF"/>
      </patternFill>
    </fill>
    <fill>
      <patternFill patternType="solid">
        <fgColor rgb="001E3A8A"/>
        <bgColor rgb="001E3A8A"/>
      </patternFill>
    </fill>
    <fill>
      <patternFill patternType="solid">
        <fgColor rgb="00064E3B"/>
        <bgColor rgb="00064E3B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4" fontId="9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 vertical="center"/>
    </xf>
    <xf numFmtId="4" fontId="9" fillId="1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4" fontId="9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9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164" fontId="9" fillId="15" borderId="1" applyAlignment="1" pivotButton="0" quotePrefix="0" xfId="0">
      <alignment horizontal="right" vertical="center"/>
    </xf>
    <xf numFmtId="4" fontId="9" fillId="15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0" fontId="9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164" fontId="9" fillId="17" borderId="1" applyAlignment="1" pivotButton="0" quotePrefix="0" xfId="0">
      <alignment horizontal="right" vertical="center"/>
    </xf>
    <xf numFmtId="4" fontId="9" fillId="17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0" fontId="9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left" vertical="center"/>
    </xf>
    <xf numFmtId="164" fontId="9" fillId="19" borderId="1" applyAlignment="1" pivotButton="0" quotePrefix="0" xfId="0">
      <alignment horizontal="right" vertical="center"/>
    </xf>
    <xf numFmtId="4" fontId="9" fillId="19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0" fontId="9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left" vertical="center"/>
    </xf>
    <xf numFmtId="164" fontId="9" fillId="21" borderId="1" applyAlignment="1" pivotButton="0" quotePrefix="0" xfId="0">
      <alignment horizontal="right" vertical="center"/>
    </xf>
    <xf numFmtId="4" fontId="9" fillId="21" borderId="1" applyAlignment="1" pivotButton="0" quotePrefix="0" xfId="0">
      <alignment horizontal="right" vertical="center"/>
    </xf>
    <xf numFmtId="164" fontId="6" fillId="21" borderId="1" applyAlignment="1" pivotButton="0" quotePrefix="0" xfId="0">
      <alignment horizontal="right" vertical="center"/>
    </xf>
    <xf numFmtId="0" fontId="0" fillId="13" borderId="2" pivotButton="0" quotePrefix="0" xfId="0"/>
    <xf numFmtId="0" fontId="6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164" fontId="6" fillId="13" borderId="2" applyAlignment="1" pivotButton="0" quotePrefix="0" xfId="0">
      <alignment horizontal="right" vertical="center"/>
    </xf>
    <xf numFmtId="165" fontId="10" fillId="8" borderId="2" applyAlignment="1" pivotButton="0" quotePrefix="0" xfId="0">
      <alignment horizontal="right" vertical="center"/>
    </xf>
    <xf numFmtId="166" fontId="10" fillId="8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  <xf numFmtId="4" fontId="6" fillId="24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15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16" customWidth="1" min="12" max="12"/>
    <col width="12" customWidth="1" min="13" max="13"/>
  </cols>
  <sheetData>
    <row r="1" ht="40" customHeight="1">
      <c r="A1" s="1" t="inlineStr">
        <is>
          <t>BẢNG PHÂN TÍCH ĐỊNH LƯỢNG HIỆU QUẢ DCA 100 CỔ PHIẾU VIỆT NAM (SẮP XẾP &amp; TÔ MÀU THEO CANDIDATE POOL)</t>
        </is>
      </c>
    </row>
    <row r="2" ht="24" customHeight="1">
      <c r="A2" s="2" t="inlineStr">
        <is>
          <t>Chiến lược: 1.000.000 VNĐ/tuần/mã | Chu kỳ: 56 tuần (05/2025 - 05/2026) | Tổng vốn: 56.000.000 VNĐ/mã | Tổng quy mô rổ: 5,6 tỷ VNĐ | Phân loại &amp; màu sắc theo 8 nhóm ngành</t>
        </is>
      </c>
    </row>
    <row r="4" ht="18" customHeight="1">
      <c r="A4" s="3" t="inlineStr">
        <is>
          <t>TỔNG VỐN (100 CỔ PHIẾU)</t>
        </is>
      </c>
      <c r="B4" s="4" t="n"/>
      <c r="C4" s="3" t="inlineStr">
        <is>
          <t>TỔNG GIÁ TRỊ CUỐI KỲ</t>
        </is>
      </c>
      <c r="D4" s="4" t="n"/>
      <c r="E4" s="3" t="inlineStr">
        <is>
          <t>LỢI NHUẬN RÒNG DANH MỤC</t>
        </is>
      </c>
      <c r="F4" s="4" t="n"/>
      <c r="G4" s="3" t="inlineStr">
        <is>
          <t>ROI TOÀN DANH MỤC</t>
        </is>
      </c>
      <c r="H4" s="4" t="n"/>
      <c r="I4" s="3" t="inlineStr">
        <is>
          <t>TỶ LỆ LÃI / LỖ</t>
        </is>
      </c>
      <c r="J4" s="4" t="n"/>
      <c r="K4" s="3" t="inlineStr">
        <is>
          <t>QUÁN QUÂN TĂNG TRƯỞNG</t>
        </is>
      </c>
      <c r="L4" s="4" t="n"/>
      <c r="M4" s="4" t="n"/>
    </row>
    <row r="5" ht="26" customHeight="1">
      <c r="A5" s="5" t="inlineStr">
        <is>
          <t>5,600,000,000 ₫</t>
        </is>
      </c>
      <c r="B5" s="4" t="n"/>
      <c r="C5" s="5" t="inlineStr">
        <is>
          <t>5,411,312,603 ₫</t>
        </is>
      </c>
      <c r="D5" s="4" t="n"/>
      <c r="E5" s="5" t="inlineStr">
        <is>
          <t>-188,687,397 ₫</t>
        </is>
      </c>
      <c r="F5" s="4" t="n"/>
      <c r="G5" s="5" t="inlineStr">
        <is>
          <t>-3.37%</t>
        </is>
      </c>
      <c r="H5" s="4" t="n"/>
      <c r="I5" s="5" t="inlineStr">
        <is>
          <t>31 Lãi / 69 Lỗ</t>
        </is>
      </c>
      <c r="J5" s="4" t="n"/>
      <c r="K5" s="5" t="inlineStr">
        <is>
          <t>VIC (+142.3%)</t>
        </is>
      </c>
      <c r="L5" s="4" t="n"/>
      <c r="M5" s="4" t="n"/>
    </row>
    <row r="7" ht="28" customHeight="1">
      <c r="A7" s="6" t="inlineStr">
        <is>
          <t>STT</t>
        </is>
      </c>
      <c r="B7" s="6" t="inlineStr">
        <is>
          <t>Mã Cổ Phiếu</t>
        </is>
      </c>
      <c r="C7" s="6" t="inlineStr">
        <is>
          <t>Nhóm Ngành (Candidate Pool)</t>
        </is>
      </c>
      <c r="D7" s="6" t="inlineStr">
        <is>
          <t>Sàn GD</t>
        </is>
      </c>
      <c r="E7" s="6" t="inlineStr">
        <is>
          <t>Hạng ROI Tổng</t>
        </is>
      </c>
      <c r="F7" s="6" t="inlineStr">
        <is>
          <t>Tổng Vốn (VNĐ)</t>
        </is>
      </c>
      <c r="G7" s="6" t="inlineStr">
        <is>
          <t>Giá DCA TB (VNĐ)</t>
        </is>
      </c>
      <c r="H7" s="6" t="inlineStr">
        <is>
          <t>Giá Tuần 56 (VNĐ)</t>
        </is>
      </c>
      <c r="I7" s="6" t="inlineStr">
        <is>
          <t>Tổng CP Tích Lũy</t>
        </is>
      </c>
      <c r="J7" s="6" t="inlineStr">
        <is>
          <t>Giá Trị Tuần 56 (VNĐ)</t>
        </is>
      </c>
      <c r="K7" s="6" t="inlineStr">
        <is>
          <t>Lãi / Lỗ Ròng (VNĐ)</t>
        </is>
      </c>
      <c r="L7" s="6" t="inlineStr">
        <is>
          <t>Tỷ Suất ROI (%)</t>
        </is>
      </c>
      <c r="M7" s="6" t="inlineStr">
        <is>
          <t>Trạng Thái</t>
        </is>
      </c>
    </row>
    <row r="8" ht="21" customHeight="1">
      <c r="A8" s="7" t="n">
        <v>1</v>
      </c>
      <c r="B8" s="8" t="inlineStr">
        <is>
          <t>VIC</t>
        </is>
      </c>
      <c r="C8" s="9" t="inlineStr">
        <is>
          <t>VN30 Index (Nhóm Trụ Cột)</t>
        </is>
      </c>
      <c r="D8" s="7" t="inlineStr">
        <is>
          <t>HOSE</t>
        </is>
      </c>
      <c r="E8" s="8" t="inlineStr">
        <is>
          <t>#1</t>
        </is>
      </c>
      <c r="F8" s="10" t="n">
        <v>56000000</v>
      </c>
      <c r="G8" s="10" t="n">
        <v>87223.45032658128</v>
      </c>
      <c r="H8" s="10" t="n">
        <v>211300</v>
      </c>
      <c r="I8" s="11" t="n">
        <v>642.0291766758285</v>
      </c>
      <c r="J8" s="12" t="n">
        <v>135660765.0316026</v>
      </c>
      <c r="K8" s="13" t="n">
        <v>79660765.03160256</v>
      </c>
      <c r="L8" s="14" t="n">
        <v>1.422513661278617</v>
      </c>
      <c r="M8" s="15" t="inlineStr">
        <is>
          <t>LÃI</t>
        </is>
      </c>
    </row>
    <row r="9" ht="21" customHeight="1">
      <c r="A9" s="7" t="n">
        <v>2</v>
      </c>
      <c r="B9" s="8" t="inlineStr">
        <is>
          <t>VHM</t>
        </is>
      </c>
      <c r="C9" s="9" t="inlineStr">
        <is>
          <t>VN30 Index (Nhóm Trụ Cột)</t>
        </is>
      </c>
      <c r="D9" s="7" t="inlineStr">
        <is>
          <t>HOSE</t>
        </is>
      </c>
      <c r="E9" s="8" t="inlineStr">
        <is>
          <t>#2</t>
        </is>
      </c>
      <c r="F9" s="10" t="n">
        <v>56000000</v>
      </c>
      <c r="G9" s="10" t="n">
        <v>49958.25601417592</v>
      </c>
      <c r="H9" s="10" t="n">
        <v>78000</v>
      </c>
      <c r="I9" s="11" t="n">
        <v>1120.935846601805</v>
      </c>
      <c r="J9" s="12" t="n">
        <v>87432996.03494079</v>
      </c>
      <c r="K9" s="13" t="n">
        <v>31432996.03494079</v>
      </c>
      <c r="L9" s="14" t="n">
        <v>0.5613035006239427</v>
      </c>
      <c r="M9" s="15" t="inlineStr">
        <is>
          <t>LÃI</t>
        </is>
      </c>
    </row>
    <row r="10" ht="21" customHeight="1">
      <c r="A10" s="7" t="n">
        <v>3</v>
      </c>
      <c r="B10" s="8" t="inlineStr">
        <is>
          <t>LPB</t>
        </is>
      </c>
      <c r="C10" s="9" t="inlineStr">
        <is>
          <t>VN30 Index (Nhóm Trụ Cột)</t>
        </is>
      </c>
      <c r="D10" s="7" t="inlineStr">
        <is>
          <t>HOSE</t>
        </is>
      </c>
      <c r="E10" s="8" t="inlineStr">
        <is>
          <t>#4</t>
        </is>
      </c>
      <c r="F10" s="10" t="n">
        <v>56000000</v>
      </c>
      <c r="G10" s="10" t="n">
        <v>41770.34073242175</v>
      </c>
      <c r="H10" s="10" t="n">
        <v>52000</v>
      </c>
      <c r="I10" s="11" t="n">
        <v>1340.664189424084</v>
      </c>
      <c r="J10" s="12" t="n">
        <v>69714537.85005237</v>
      </c>
      <c r="K10" s="13" t="n">
        <v>13714537.85005237</v>
      </c>
      <c r="L10" s="14" t="n">
        <v>0.2449024616080781</v>
      </c>
      <c r="M10" s="15" t="inlineStr">
        <is>
          <t>LÃI</t>
        </is>
      </c>
    </row>
    <row r="11" ht="21" customHeight="1">
      <c r="A11" s="7" t="n">
        <v>4</v>
      </c>
      <c r="B11" s="8" t="inlineStr">
        <is>
          <t>GAS</t>
        </is>
      </c>
      <c r="C11" s="9" t="inlineStr">
        <is>
          <t>VN30 Index (Nhóm Trụ Cột)</t>
        </is>
      </c>
      <c r="D11" s="7" t="inlineStr">
        <is>
          <t>HOSE</t>
        </is>
      </c>
      <c r="E11" s="8" t="inlineStr">
        <is>
          <t>#5</t>
        </is>
      </c>
      <c r="F11" s="10" t="n">
        <v>56000000</v>
      </c>
      <c r="G11" s="10" t="n">
        <v>71550.32697122355</v>
      </c>
      <c r="H11" s="10" t="n">
        <v>87400</v>
      </c>
      <c r="I11" s="11" t="n">
        <v>782.6658852659381</v>
      </c>
      <c r="J11" s="12" t="n">
        <v>68404998.37224299</v>
      </c>
      <c r="K11" s="13" t="n">
        <v>12404998.37224299</v>
      </c>
      <c r="L11" s="14" t="n">
        <v>0.2215178280757676</v>
      </c>
      <c r="M11" s="15" t="inlineStr">
        <is>
          <t>LÃI</t>
        </is>
      </c>
    </row>
    <row r="12" ht="21" customHeight="1">
      <c r="A12" s="7" t="n">
        <v>5</v>
      </c>
      <c r="B12" s="8" t="inlineStr">
        <is>
          <t>VJC</t>
        </is>
      </c>
      <c r="C12" s="9" t="inlineStr">
        <is>
          <t>VN30 Index (Nhóm Trụ Cột)</t>
        </is>
      </c>
      <c r="D12" s="7" t="inlineStr">
        <is>
          <t>HOSE</t>
        </is>
      </c>
      <c r="E12" s="8" t="inlineStr">
        <is>
          <t>#6</t>
        </is>
      </c>
      <c r="F12" s="10" t="n">
        <v>56000000</v>
      </c>
      <c r="G12" s="10" t="n">
        <v>108465.2486009494</v>
      </c>
      <c r="H12" s="10" t="n">
        <v>132230.765625</v>
      </c>
      <c r="I12" s="11" t="n">
        <v>516.2943958763015</v>
      </c>
      <c r="J12" s="12" t="n">
        <v>68270003.25462018</v>
      </c>
      <c r="K12" s="13" t="n">
        <v>12270003.25462018</v>
      </c>
      <c r="L12" s="14" t="n">
        <v>0.2191072009753604</v>
      </c>
      <c r="M12" s="15" t="inlineStr">
        <is>
          <t>LÃI</t>
        </is>
      </c>
    </row>
    <row r="13" ht="21" customHeight="1">
      <c r="A13" s="7" t="n">
        <v>6</v>
      </c>
      <c r="B13" s="8" t="inlineStr">
        <is>
          <t>GVR</t>
        </is>
      </c>
      <c r="C13" s="9" t="inlineStr">
        <is>
          <t>VN30 Index (Nhóm Trụ Cột)</t>
        </is>
      </c>
      <c r="D13" s="7" t="inlineStr">
        <is>
          <t>HOSE</t>
        </is>
      </c>
      <c r="E13" s="8" t="inlineStr">
        <is>
          <t>#9</t>
        </is>
      </c>
      <c r="F13" s="10" t="n">
        <v>56000000</v>
      </c>
      <c r="G13" s="10" t="n">
        <v>30621.14294782288</v>
      </c>
      <c r="H13" s="10" t="n">
        <v>34900</v>
      </c>
      <c r="I13" s="11" t="n">
        <v>1828.80175620556</v>
      </c>
      <c r="J13" s="12" t="n">
        <v>63825181.29157406</v>
      </c>
      <c r="K13" s="13" t="n">
        <v>7825181.291574061</v>
      </c>
      <c r="L13" s="14" t="n">
        <v>0.1397353802066797</v>
      </c>
      <c r="M13" s="15" t="inlineStr">
        <is>
          <t>LÃI</t>
        </is>
      </c>
    </row>
    <row r="14" ht="21" customHeight="1">
      <c r="A14" s="7" t="n">
        <v>7</v>
      </c>
      <c r="B14" s="8" t="inlineStr">
        <is>
          <t>BVH</t>
        </is>
      </c>
      <c r="C14" s="9" t="inlineStr">
        <is>
          <t>VN30 Index (Nhóm Trụ Cột)</t>
        </is>
      </c>
      <c r="D14" s="7" t="inlineStr">
        <is>
          <t>HOSE</t>
        </is>
      </c>
      <c r="E14" s="8" t="inlineStr">
        <is>
          <t>#10</t>
        </is>
      </c>
      <c r="F14" s="10" t="n">
        <v>56000000</v>
      </c>
      <c r="G14" s="10" t="n">
        <v>59544.34414759143</v>
      </c>
      <c r="H14" s="10" t="n">
        <v>67700</v>
      </c>
      <c r="I14" s="11" t="n">
        <v>940.4755531641068</v>
      </c>
      <c r="J14" s="12" t="n">
        <v>63670194.94921003</v>
      </c>
      <c r="K14" s="13" t="n">
        <v>7670194.949210033</v>
      </c>
      <c r="L14" s="14" t="n">
        <v>0.1369677669501791</v>
      </c>
      <c r="M14" s="15" t="inlineStr">
        <is>
          <t>LÃI</t>
        </is>
      </c>
    </row>
    <row r="15" ht="21" customHeight="1">
      <c r="A15" s="7" t="n">
        <v>8</v>
      </c>
      <c r="B15" s="8" t="inlineStr">
        <is>
          <t>HDB</t>
        </is>
      </c>
      <c r="C15" s="9" t="inlineStr">
        <is>
          <t>VN30 Index (Nhóm Trụ Cột)</t>
        </is>
      </c>
      <c r="D15" s="7" t="inlineStr">
        <is>
          <t>HOSE</t>
        </is>
      </c>
      <c r="E15" s="8" t="inlineStr">
        <is>
          <t>#12</t>
        </is>
      </c>
      <c r="F15" s="10" t="n">
        <v>56000000</v>
      </c>
      <c r="G15" s="10" t="n">
        <v>23259.9607924598</v>
      </c>
      <c r="H15" s="10" t="n">
        <v>25900</v>
      </c>
      <c r="I15" s="11" t="n">
        <v>2407.570696256443</v>
      </c>
      <c r="J15" s="12" t="n">
        <v>62356081.03304186</v>
      </c>
      <c r="K15" s="13" t="n">
        <v>6356081.033041865</v>
      </c>
      <c r="L15" s="14" t="n">
        <v>0.1135014470186047</v>
      </c>
      <c r="M15" s="15" t="inlineStr">
        <is>
          <t>LÃI</t>
        </is>
      </c>
    </row>
    <row r="16" ht="21" customHeight="1">
      <c r="A16" s="7" t="n">
        <v>9</v>
      </c>
      <c r="B16" s="8" t="inlineStr">
        <is>
          <t>POW</t>
        </is>
      </c>
      <c r="C16" s="9" t="inlineStr">
        <is>
          <t>VN30 Index (Nhóm Trụ Cột)</t>
        </is>
      </c>
      <c r="D16" s="7" t="inlineStr">
        <is>
          <t>HOSE</t>
        </is>
      </c>
      <c r="E16" s="8" t="inlineStr">
        <is>
          <t>#14</t>
        </is>
      </c>
      <c r="F16" s="10" t="n">
        <v>56000000</v>
      </c>
      <c r="G16" s="10" t="n">
        <v>12565.71068654301</v>
      </c>
      <c r="H16" s="10" t="n">
        <v>13700</v>
      </c>
      <c r="I16" s="11" t="n">
        <v>4456.57244519978</v>
      </c>
      <c r="J16" s="12" t="n">
        <v>61055042.49923699</v>
      </c>
      <c r="K16" s="13" t="n">
        <v>5055042.499236993</v>
      </c>
      <c r="L16" s="14" t="n">
        <v>0.09026861605780345</v>
      </c>
      <c r="M16" s="15" t="inlineStr">
        <is>
          <t>LÃI</t>
        </is>
      </c>
    </row>
    <row r="17" ht="21" customHeight="1">
      <c r="A17" s="7" t="n">
        <v>10</v>
      </c>
      <c r="B17" s="8" t="inlineStr">
        <is>
          <t>VRE</t>
        </is>
      </c>
      <c r="C17" s="9" t="inlineStr">
        <is>
          <t>VN30 Index (Nhóm Trụ Cột)</t>
        </is>
      </c>
      <c r="D17" s="7" t="inlineStr">
        <is>
          <t>HOSE</t>
        </is>
      </c>
      <c r="E17" s="8" t="inlineStr">
        <is>
          <t>#15</t>
        </is>
      </c>
      <c r="F17" s="10" t="n">
        <v>56000000</v>
      </c>
      <c r="G17" s="10" t="n">
        <v>29725.98126973382</v>
      </c>
      <c r="H17" s="10" t="n">
        <v>32250</v>
      </c>
      <c r="I17" s="11" t="n">
        <v>1883.873891053604</v>
      </c>
      <c r="J17" s="12" t="n">
        <v>60754932.98647872</v>
      </c>
      <c r="K17" s="13" t="n">
        <v>4754932.986478724</v>
      </c>
      <c r="L17" s="14" t="n">
        <v>0.08490951761569149</v>
      </c>
      <c r="M17" s="15" t="inlineStr">
        <is>
          <t>LÃI</t>
        </is>
      </c>
    </row>
    <row r="18" ht="21" customHeight="1">
      <c r="A18" s="7" t="n">
        <v>11</v>
      </c>
      <c r="B18" s="8" t="inlineStr">
        <is>
          <t>PLX</t>
        </is>
      </c>
      <c r="C18" s="9" t="inlineStr">
        <is>
          <t>VN30 Index (Nhóm Trụ Cột)</t>
        </is>
      </c>
      <c r="D18" s="7" t="inlineStr">
        <is>
          <t>HOSE</t>
        </is>
      </c>
      <c r="E18" s="8" t="inlineStr">
        <is>
          <t>#18</t>
        </is>
      </c>
      <c r="F18" s="10" t="n">
        <v>56000000</v>
      </c>
      <c r="G18" s="10" t="n">
        <v>38783.49990988561</v>
      </c>
      <c r="H18" s="10" t="n">
        <v>41000</v>
      </c>
      <c r="I18" s="11" t="n">
        <v>1443.913007596461</v>
      </c>
      <c r="J18" s="12" t="n">
        <v>59200433.31145489</v>
      </c>
      <c r="K18" s="13" t="n">
        <v>3200433.311454892</v>
      </c>
      <c r="L18" s="14" t="n">
        <v>0.05715059484740879</v>
      </c>
      <c r="M18" s="15" t="inlineStr">
        <is>
          <t>LÃI</t>
        </is>
      </c>
    </row>
    <row r="19" ht="21" customHeight="1">
      <c r="A19" s="7" t="n">
        <v>12</v>
      </c>
      <c r="B19" s="8" t="inlineStr">
        <is>
          <t>VPB</t>
        </is>
      </c>
      <c r="C19" s="9" t="inlineStr">
        <is>
          <t>VN30 Index (Nhóm Trụ Cột)</t>
        </is>
      </c>
      <c r="D19" s="7" t="inlineStr">
        <is>
          <t>HOSE</t>
        </is>
      </c>
      <c r="E19" s="8" t="inlineStr">
        <is>
          <t>#21</t>
        </is>
      </c>
      <c r="F19" s="10" t="n">
        <v>56000000</v>
      </c>
      <c r="G19" s="10" t="n">
        <v>25809.45879567751</v>
      </c>
      <c r="H19" s="10" t="n">
        <v>27100</v>
      </c>
      <c r="I19" s="11" t="n">
        <v>2169.747162981143</v>
      </c>
      <c r="J19" s="12" t="n">
        <v>58800148.11678899</v>
      </c>
      <c r="K19" s="13" t="n">
        <v>2800148.116788991</v>
      </c>
      <c r="L19" s="14" t="n">
        <v>0.05000264494266055</v>
      </c>
      <c r="M19" s="15" t="inlineStr">
        <is>
          <t>LÃI</t>
        </is>
      </c>
    </row>
    <row r="20" ht="21" customHeight="1">
      <c r="A20" s="7" t="n">
        <v>13</v>
      </c>
      <c r="B20" s="8" t="inlineStr">
        <is>
          <t>BID</t>
        </is>
      </c>
      <c r="C20" s="9" t="inlineStr">
        <is>
          <t>VN30 Index (Nhóm Trụ Cột)</t>
        </is>
      </c>
      <c r="D20" s="7" t="inlineStr">
        <is>
          <t>HOSE</t>
        </is>
      </c>
      <c r="E20" s="8" t="inlineStr">
        <is>
          <t>#23</t>
        </is>
      </c>
      <c r="F20" s="10" t="n">
        <v>56000000</v>
      </c>
      <c r="G20" s="10" t="n">
        <v>37671.94811705285</v>
      </c>
      <c r="H20" s="10" t="n">
        <v>39309.90625</v>
      </c>
      <c r="I20" s="11" t="n">
        <v>1486.517230964508</v>
      </c>
      <c r="J20" s="12" t="n">
        <v>58434852.98822439</v>
      </c>
      <c r="K20" s="13" t="n">
        <v>2434852.988224395</v>
      </c>
      <c r="L20" s="14" t="n">
        <v>0.04347951764686419</v>
      </c>
      <c r="M20" s="15" t="inlineStr">
        <is>
          <t>LÃI</t>
        </is>
      </c>
    </row>
    <row r="21" ht="21" customHeight="1">
      <c r="A21" s="7" t="n">
        <v>14</v>
      </c>
      <c r="B21" s="8" t="inlineStr">
        <is>
          <t>ACB</t>
        </is>
      </c>
      <c r="C21" s="9" t="inlineStr">
        <is>
          <t>VN30 Index (Nhóm Trụ Cột)</t>
        </is>
      </c>
      <c r="D21" s="7" t="inlineStr">
        <is>
          <t>HOSE</t>
        </is>
      </c>
      <c r="E21" s="8" t="inlineStr">
        <is>
          <t>#24</t>
        </is>
      </c>
      <c r="F21" s="10" t="n">
        <v>56000000</v>
      </c>
      <c r="G21" s="10" t="n">
        <v>21170.84273379012</v>
      </c>
      <c r="H21" s="10" t="n">
        <v>22035.3984375</v>
      </c>
      <c r="I21" s="11" t="n">
        <v>2645.147418275426</v>
      </c>
      <c r="J21" s="12" t="n">
        <v>58286877.28762348</v>
      </c>
      <c r="K21" s="13" t="n">
        <v>2286877.28762348</v>
      </c>
      <c r="L21" s="14" t="n">
        <v>0.04083709442184787</v>
      </c>
      <c r="M21" s="15" t="inlineStr">
        <is>
          <t>LÃI</t>
        </is>
      </c>
    </row>
    <row r="22" ht="21" customHeight="1">
      <c r="A22" s="7" t="n">
        <v>15</v>
      </c>
      <c r="B22" s="8" t="inlineStr">
        <is>
          <t>MBB</t>
        </is>
      </c>
      <c r="C22" s="9" t="inlineStr">
        <is>
          <t>VN30 Index (Nhóm Trụ Cột)</t>
        </is>
      </c>
      <c r="D22" s="7" t="inlineStr">
        <is>
          <t>HOSE</t>
        </is>
      </c>
      <c r="E22" s="8" t="inlineStr">
        <is>
          <t>#25</t>
        </is>
      </c>
      <c r="F22" s="10" t="n">
        <v>56000000</v>
      </c>
      <c r="G22" s="10" t="n">
        <v>20927.09243489012</v>
      </c>
      <c r="H22" s="10" t="n">
        <v>21739.130859375</v>
      </c>
      <c r="I22" s="11" t="n">
        <v>2675.957024332512</v>
      </c>
      <c r="J22" s="12" t="n">
        <v>58172979.92602822</v>
      </c>
      <c r="K22" s="13" t="n">
        <v>2172979.926028222</v>
      </c>
      <c r="L22" s="14" t="n">
        <v>0.03880321296478968</v>
      </c>
      <c r="M22" s="15" t="inlineStr">
        <is>
          <t>LÃI</t>
        </is>
      </c>
    </row>
    <row r="23" ht="21" customHeight="1">
      <c r="A23" s="7" t="n">
        <v>16</v>
      </c>
      <c r="B23" s="8" t="inlineStr">
        <is>
          <t>CTG</t>
        </is>
      </c>
      <c r="C23" s="9" t="inlineStr">
        <is>
          <t>VN30 Index (Nhóm Trụ Cột)</t>
        </is>
      </c>
      <c r="D23" s="7" t="inlineStr">
        <is>
          <t>HOSE</t>
        </is>
      </c>
      <c r="E23" s="8" t="inlineStr">
        <is>
          <t>#26</t>
        </is>
      </c>
      <c r="F23" s="10" t="n">
        <v>56000000</v>
      </c>
      <c r="G23" s="10" t="n">
        <v>33641.76476608086</v>
      </c>
      <c r="H23" s="10" t="n">
        <v>34800</v>
      </c>
      <c r="I23" s="11" t="n">
        <v>1664.597573563136</v>
      </c>
      <c r="J23" s="12" t="n">
        <v>57927995.55999714</v>
      </c>
      <c r="K23" s="13" t="n">
        <v>1927995.559997141</v>
      </c>
      <c r="L23" s="14" t="n">
        <v>0.0344284921428061</v>
      </c>
      <c r="M23" s="15" t="inlineStr">
        <is>
          <t>LÃI</t>
        </is>
      </c>
    </row>
    <row r="24" ht="21" customHeight="1">
      <c r="A24" s="7" t="n">
        <v>17</v>
      </c>
      <c r="B24" s="8" t="inlineStr">
        <is>
          <t>VCB</t>
        </is>
      </c>
      <c r="C24" s="9" t="inlineStr">
        <is>
          <t>VN30 Index (Nhóm Trụ Cột)</t>
        </is>
      </c>
      <c r="D24" s="7" t="inlineStr">
        <is>
          <t>HOSE</t>
        </is>
      </c>
      <c r="E24" s="8" t="inlineStr">
        <is>
          <t>#28</t>
        </is>
      </c>
      <c r="F24" s="10" t="n">
        <v>56000000</v>
      </c>
      <c r="G24" s="10" t="n">
        <v>61056.39156874533</v>
      </c>
      <c r="H24" s="10" t="n">
        <v>62000</v>
      </c>
      <c r="I24" s="11" t="n">
        <v>917.1848935249935</v>
      </c>
      <c r="J24" s="12" t="n">
        <v>56865463.3985496</v>
      </c>
      <c r="K24" s="13" t="n">
        <v>865463.3985496014</v>
      </c>
      <c r="L24" s="14" t="n">
        <v>0.0154547035455286</v>
      </c>
      <c r="M24" s="15" t="inlineStr">
        <is>
          <t>LÃI</t>
        </is>
      </c>
    </row>
    <row r="25" ht="21" customHeight="1">
      <c r="A25" s="7" t="n">
        <v>18</v>
      </c>
      <c r="B25" s="8" t="inlineStr">
        <is>
          <t>HPG</t>
        </is>
      </c>
      <c r="C25" s="9" t="inlineStr">
        <is>
          <t>VN30 Index (Nhóm Trụ Cột)</t>
        </is>
      </c>
      <c r="D25" s="7" t="inlineStr">
        <is>
          <t>HOSE</t>
        </is>
      </c>
      <c r="E25" s="8" t="inlineStr">
        <is>
          <t>#30</t>
        </is>
      </c>
      <c r="F25" s="10" t="n">
        <v>56000000</v>
      </c>
      <c r="G25" s="10" t="n">
        <v>23771.54143703813</v>
      </c>
      <c r="H25" s="10" t="n">
        <v>24000</v>
      </c>
      <c r="I25" s="11" t="n">
        <v>2355.75804574234</v>
      </c>
      <c r="J25" s="12" t="n">
        <v>56538193.09781616</v>
      </c>
      <c r="K25" s="13" t="n">
        <v>538193.0978161618</v>
      </c>
      <c r="L25" s="14" t="n">
        <v>0.00961059103243146</v>
      </c>
      <c r="M25" s="15" t="inlineStr">
        <is>
          <t>LÃI</t>
        </is>
      </c>
    </row>
    <row r="26" ht="21" customHeight="1">
      <c r="A26" s="7" t="n">
        <v>19</v>
      </c>
      <c r="B26" s="8" t="inlineStr">
        <is>
          <t>SAB</t>
        </is>
      </c>
      <c r="C26" s="9" t="inlineStr">
        <is>
          <t>VN30 Index (Nhóm Trụ Cột)</t>
        </is>
      </c>
      <c r="D26" s="7" t="inlineStr">
        <is>
          <t>HOSE</t>
        </is>
      </c>
      <c r="E26" s="8" t="inlineStr">
        <is>
          <t>#33</t>
        </is>
      </c>
      <c r="F26" s="10" t="n">
        <v>56000000</v>
      </c>
      <c r="G26" s="10" t="n">
        <v>47478.88565097238</v>
      </c>
      <c r="H26" s="10" t="n">
        <v>46950</v>
      </c>
      <c r="I26" s="11" t="n">
        <v>1179.471658447677</v>
      </c>
      <c r="J26" s="12" t="n">
        <v>55376194.36411842</v>
      </c>
      <c r="K26" s="16" t="n">
        <v>-623805.6358815804</v>
      </c>
      <c r="L26" s="17" t="n">
        <v>-0.01113938635502822</v>
      </c>
      <c r="M26" s="18" t="inlineStr">
        <is>
          <t>LỖ</t>
        </is>
      </c>
    </row>
    <row r="27" ht="21" customHeight="1">
      <c r="A27" s="7" t="n">
        <v>20</v>
      </c>
      <c r="B27" s="8" t="inlineStr">
        <is>
          <t>MWG</t>
        </is>
      </c>
      <c r="C27" s="9" t="inlineStr">
        <is>
          <t>VN30 Index (Nhóm Trụ Cột)</t>
        </is>
      </c>
      <c r="D27" s="7" t="inlineStr">
        <is>
          <t>HOSE</t>
        </is>
      </c>
      <c r="E27" s="8" t="inlineStr">
        <is>
          <t>#35</t>
        </is>
      </c>
      <c r="F27" s="10" t="n">
        <v>56000000</v>
      </c>
      <c r="G27" s="10" t="n">
        <v>77279.30991405873</v>
      </c>
      <c r="H27" s="10" t="n">
        <v>76300</v>
      </c>
      <c r="I27" s="11" t="n">
        <v>724.6441520023515</v>
      </c>
      <c r="J27" s="12" t="n">
        <v>55290348.79777942</v>
      </c>
      <c r="K27" s="16" t="n">
        <v>-709651.2022205815</v>
      </c>
      <c r="L27" s="17" t="n">
        <v>-0.0126723428967961</v>
      </c>
      <c r="M27" s="18" t="inlineStr">
        <is>
          <t>LỖ</t>
        </is>
      </c>
    </row>
    <row r="28" ht="21" customHeight="1">
      <c r="A28" s="7" t="n">
        <v>21</v>
      </c>
      <c r="B28" s="8" t="inlineStr">
        <is>
          <t>TPB</t>
        </is>
      </c>
      <c r="C28" s="9" t="inlineStr">
        <is>
          <t>VN30 Index (Nhóm Trụ Cột)</t>
        </is>
      </c>
      <c r="D28" s="7" t="inlineStr">
        <is>
          <t>HOSE</t>
        </is>
      </c>
      <c r="E28" s="8" t="inlineStr">
        <is>
          <t>#36</t>
        </is>
      </c>
      <c r="F28" s="10" t="n">
        <v>56000000</v>
      </c>
      <c r="G28" s="10" t="n">
        <v>16139.71040815399</v>
      </c>
      <c r="H28" s="10" t="n">
        <v>15900</v>
      </c>
      <c r="I28" s="11" t="n">
        <v>3469.702899483752</v>
      </c>
      <c r="J28" s="12" t="n">
        <v>55168276.10179166</v>
      </c>
      <c r="K28" s="16" t="n">
        <v>-831723.898208335</v>
      </c>
      <c r="L28" s="17" t="n">
        <v>-0.01485221246800598</v>
      </c>
      <c r="M28" s="18" t="inlineStr">
        <is>
          <t>LỖ</t>
        </is>
      </c>
    </row>
    <row r="29" ht="21" customHeight="1">
      <c r="A29" s="7" t="n">
        <v>22</v>
      </c>
      <c r="B29" s="8" t="inlineStr">
        <is>
          <t>MSN</t>
        </is>
      </c>
      <c r="C29" s="9" t="inlineStr">
        <is>
          <t>VN30 Index (Nhóm Trụ Cột)</t>
        </is>
      </c>
      <c r="D29" s="7" t="inlineStr">
        <is>
          <t>HOSE</t>
        </is>
      </c>
      <c r="E29" s="8" t="inlineStr">
        <is>
          <t>#39</t>
        </is>
      </c>
      <c r="F29" s="10" t="n">
        <v>56000000</v>
      </c>
      <c r="G29" s="10" t="n">
        <v>76020.79766580902</v>
      </c>
      <c r="H29" s="10" t="n">
        <v>74700</v>
      </c>
      <c r="I29" s="11" t="n">
        <v>736.6405210081933</v>
      </c>
      <c r="J29" s="12" t="n">
        <v>55027046.91931204</v>
      </c>
      <c r="K29" s="16" t="n">
        <v>-972953.080687955</v>
      </c>
      <c r="L29" s="17" t="n">
        <v>-0.01737416215514205</v>
      </c>
      <c r="M29" s="18" t="inlineStr">
        <is>
          <t>LỖ</t>
        </is>
      </c>
    </row>
    <row r="30" ht="21" customHeight="1">
      <c r="A30" s="7" t="n">
        <v>23</v>
      </c>
      <c r="B30" s="8" t="inlineStr">
        <is>
          <t>VNM</t>
        </is>
      </c>
      <c r="C30" s="9" t="inlineStr">
        <is>
          <t>VN30 Index (Nhóm Trụ Cột)</t>
        </is>
      </c>
      <c r="D30" s="7" t="inlineStr">
        <is>
          <t>HOSE</t>
        </is>
      </c>
      <c r="E30" s="8" t="inlineStr">
        <is>
          <t>#44</t>
        </is>
      </c>
      <c r="F30" s="10" t="n">
        <v>56000000</v>
      </c>
      <c r="G30" s="10" t="n">
        <v>61102.60937319007</v>
      </c>
      <c r="H30" s="10" t="n">
        <v>59200</v>
      </c>
      <c r="I30" s="11" t="n">
        <v>916.4911380130202</v>
      </c>
      <c r="J30" s="12" t="n">
        <v>54256275.3703708</v>
      </c>
      <c r="K30" s="16" t="n">
        <v>-1743724.629629202</v>
      </c>
      <c r="L30" s="17" t="n">
        <v>-0.03113793981480718</v>
      </c>
      <c r="M30" s="18" t="inlineStr">
        <is>
          <t>LỖ</t>
        </is>
      </c>
    </row>
    <row r="31" ht="21" customHeight="1">
      <c r="A31" s="7" t="n">
        <v>24</v>
      </c>
      <c r="B31" s="8" t="inlineStr">
        <is>
          <t>TCB</t>
        </is>
      </c>
      <c r="C31" s="9" t="inlineStr">
        <is>
          <t>VN30 Index (Nhóm Trụ Cột)</t>
        </is>
      </c>
      <c r="D31" s="7" t="inlineStr">
        <is>
          <t>HOSE</t>
        </is>
      </c>
      <c r="E31" s="8" t="inlineStr">
        <is>
          <t>#47</t>
        </is>
      </c>
      <c r="F31" s="10" t="n">
        <v>56000000</v>
      </c>
      <c r="G31" s="10" t="n">
        <v>34316.7665384549</v>
      </c>
      <c r="H31" s="10" t="n">
        <v>32750</v>
      </c>
      <c r="I31" s="11" t="n">
        <v>1631.855377086509</v>
      </c>
      <c r="J31" s="12" t="n">
        <v>53443263.59958316</v>
      </c>
      <c r="K31" s="16" t="n">
        <v>-2556736.400416836</v>
      </c>
      <c r="L31" s="17" t="n">
        <v>-0.04565600715030065</v>
      </c>
      <c r="M31" s="18" t="inlineStr">
        <is>
          <t>LỖ</t>
        </is>
      </c>
    </row>
    <row r="32" ht="21" customHeight="1">
      <c r="A32" s="7" t="n">
        <v>25</v>
      </c>
      <c r="B32" s="8" t="inlineStr">
        <is>
          <t>SSI</t>
        </is>
      </c>
      <c r="C32" s="9" t="inlineStr">
        <is>
          <t>VN30 Index (Nhóm Trụ Cột)</t>
        </is>
      </c>
      <c r="D32" s="7" t="inlineStr">
        <is>
          <t>HOSE</t>
        </is>
      </c>
      <c r="E32" s="8" t="inlineStr">
        <is>
          <t>#48</t>
        </is>
      </c>
      <c r="F32" s="10" t="n">
        <v>56000000</v>
      </c>
      <c r="G32" s="10" t="n">
        <v>24107.95411371925</v>
      </c>
      <c r="H32" s="10" t="n">
        <v>22916.666015625</v>
      </c>
      <c r="I32" s="11" t="n">
        <v>2322.884792954362</v>
      </c>
      <c r="J32" s="12" t="n">
        <v>53232774.99290933</v>
      </c>
      <c r="K32" s="16" t="n">
        <v>-2767225.007090665</v>
      </c>
      <c r="L32" s="17" t="n">
        <v>-0.04941473226947617</v>
      </c>
      <c r="M32" s="18" t="inlineStr">
        <is>
          <t>LỖ</t>
        </is>
      </c>
    </row>
    <row r="33" ht="21" customHeight="1">
      <c r="A33" s="7" t="n">
        <v>26</v>
      </c>
      <c r="B33" s="8" t="inlineStr">
        <is>
          <t>SSB</t>
        </is>
      </c>
      <c r="C33" s="9" t="inlineStr">
        <is>
          <t>VN30 Index (Nhóm Trụ Cột)</t>
        </is>
      </c>
      <c r="D33" s="7" t="inlineStr">
        <is>
          <t>HOSE</t>
        </is>
      </c>
      <c r="E33" s="8" t="inlineStr">
        <is>
          <t>#53</t>
        </is>
      </c>
      <c r="F33" s="10" t="n">
        <v>56000000</v>
      </c>
      <c r="G33" s="10" t="n">
        <v>14972.20226020414</v>
      </c>
      <c r="H33" s="10" t="n">
        <v>14000</v>
      </c>
      <c r="I33" s="11" t="n">
        <v>3740.264727043331</v>
      </c>
      <c r="J33" s="12" t="n">
        <v>52363706.17860664</v>
      </c>
      <c r="K33" s="16" t="n">
        <v>-3636293.821393363</v>
      </c>
      <c r="L33" s="17" t="n">
        <v>-0.0649338182391672</v>
      </c>
      <c r="M33" s="18" t="inlineStr">
        <is>
          <t>LỖ</t>
        </is>
      </c>
    </row>
    <row r="34" ht="21" customHeight="1">
      <c r="A34" s="7" t="n">
        <v>27</v>
      </c>
      <c r="B34" s="8" t="inlineStr">
        <is>
          <t>SHB</t>
        </is>
      </c>
      <c r="C34" s="9" t="inlineStr">
        <is>
          <t>VN30 Index (Nhóm Trụ Cột)</t>
        </is>
      </c>
      <c r="D34" s="7" t="inlineStr">
        <is>
          <t>HOSE</t>
        </is>
      </c>
      <c r="E34" s="8" t="inlineStr">
        <is>
          <t>#55</t>
        </is>
      </c>
      <c r="F34" s="10" t="n">
        <v>56000000</v>
      </c>
      <c r="G34" s="10" t="n">
        <v>14967.40431558481</v>
      </c>
      <c r="H34" s="10" t="n">
        <v>13800</v>
      </c>
      <c r="I34" s="11" t="n">
        <v>3741.463704677905</v>
      </c>
      <c r="J34" s="12" t="n">
        <v>51632199.1245551</v>
      </c>
      <c r="K34" s="16" t="n">
        <v>-4367800.875444904</v>
      </c>
      <c r="L34" s="17" t="n">
        <v>-0.07799644420437328</v>
      </c>
      <c r="M34" s="18" t="inlineStr">
        <is>
          <t>LỖ</t>
        </is>
      </c>
    </row>
    <row r="35" ht="21" customHeight="1">
      <c r="A35" s="7" t="n">
        <v>28</v>
      </c>
      <c r="B35" s="8" t="inlineStr">
        <is>
          <t>VIB</t>
        </is>
      </c>
      <c r="C35" s="9" t="inlineStr">
        <is>
          <t>VN30 Index (Nhóm Trụ Cột)</t>
        </is>
      </c>
      <c r="D35" s="7" t="inlineStr">
        <is>
          <t>HOSE</t>
        </is>
      </c>
      <c r="E35" s="8" t="inlineStr">
        <is>
          <t>#61</t>
        </is>
      </c>
      <c r="F35" s="10" t="n">
        <v>56000000</v>
      </c>
      <c r="G35" s="10" t="n">
        <v>16176.26848063785</v>
      </c>
      <c r="H35" s="10" t="n">
        <v>14703.1962890625</v>
      </c>
      <c r="I35" s="11" t="n">
        <v>3461.86143405255</v>
      </c>
      <c r="J35" s="12" t="n">
        <v>50900428.19041004</v>
      </c>
      <c r="K35" s="16" t="n">
        <v>-5099571.80958996</v>
      </c>
      <c r="L35" s="17" t="n">
        <v>-0.09106378231410642</v>
      </c>
      <c r="M35" s="18" t="inlineStr">
        <is>
          <t>LỖ</t>
        </is>
      </c>
    </row>
    <row r="36" ht="21" customHeight="1">
      <c r="A36" s="7" t="n">
        <v>29</v>
      </c>
      <c r="B36" s="8" t="inlineStr">
        <is>
          <t>BCM</t>
        </is>
      </c>
      <c r="C36" s="9" t="inlineStr">
        <is>
          <t>VN30 Index (Nhóm Trụ Cột)</t>
        </is>
      </c>
      <c r="D36" s="7" t="inlineStr">
        <is>
          <t>HOSE</t>
        </is>
      </c>
      <c r="E36" s="8" t="inlineStr">
        <is>
          <t>#71</t>
        </is>
      </c>
      <c r="F36" s="10" t="n">
        <v>56000000</v>
      </c>
      <c r="G36" s="10" t="n">
        <v>62709.35593229057</v>
      </c>
      <c r="H36" s="10" t="n">
        <v>55100</v>
      </c>
      <c r="I36" s="11" t="n">
        <v>893.0086933194643</v>
      </c>
      <c r="J36" s="12" t="n">
        <v>49204779.00190248</v>
      </c>
      <c r="K36" s="16" t="n">
        <v>-6795220.998097517</v>
      </c>
      <c r="L36" s="17" t="n">
        <v>-0.1213432321088842</v>
      </c>
      <c r="M36" s="18" t="inlineStr">
        <is>
          <t>LỖ</t>
        </is>
      </c>
    </row>
    <row r="37" ht="21" customHeight="1">
      <c r="A37" s="7" t="n">
        <v>30</v>
      </c>
      <c r="B37" s="8" t="inlineStr">
        <is>
          <t>FPT</t>
        </is>
      </c>
      <c r="C37" s="9" t="inlineStr">
        <is>
          <t>VN30 Index (Nhóm Trụ Cột)</t>
        </is>
      </c>
      <c r="D37" s="7" t="inlineStr">
        <is>
          <t>HOSE</t>
        </is>
      </c>
      <c r="E37" s="8" t="inlineStr">
        <is>
          <t>#94</t>
        </is>
      </c>
      <c r="F37" s="10" t="n">
        <v>56000000</v>
      </c>
      <c r="G37" s="10" t="n">
        <v>92897.54758518974</v>
      </c>
      <c r="H37" s="10" t="n">
        <v>71600</v>
      </c>
      <c r="I37" s="11" t="n">
        <v>602.8146216523787</v>
      </c>
      <c r="J37" s="12" t="n">
        <v>43161526.91031031</v>
      </c>
      <c r="K37" s="16" t="n">
        <v>-12838473.08968969</v>
      </c>
      <c r="L37" s="17" t="n">
        <v>-0.229258448030173</v>
      </c>
      <c r="M37" s="18" t="inlineStr">
        <is>
          <t>LỖ</t>
        </is>
      </c>
    </row>
    <row r="38" ht="21" customHeight="1">
      <c r="A38" s="19" t="n">
        <v>31</v>
      </c>
      <c r="B38" s="20" t="inlineStr">
        <is>
          <t>MSB</t>
        </is>
      </c>
      <c r="C38" s="21" t="inlineStr">
        <is>
          <t>Ngân Hàng &amp; Tài Chính</t>
        </is>
      </c>
      <c r="D38" s="19" t="inlineStr">
        <is>
          <t>HOSE</t>
        </is>
      </c>
      <c r="E38" s="20" t="inlineStr">
        <is>
          <t>#3</t>
        </is>
      </c>
      <c r="F38" s="22" t="n">
        <v>56000000</v>
      </c>
      <c r="G38" s="22" t="n">
        <v>10048.92928031663</v>
      </c>
      <c r="H38" s="22" t="n">
        <v>12750</v>
      </c>
      <c r="I38" s="23" t="n">
        <v>5572.733018401293</v>
      </c>
      <c r="J38" s="24" t="n">
        <v>71052345.98461649</v>
      </c>
      <c r="K38" s="13" t="n">
        <v>15052345.98461649</v>
      </c>
      <c r="L38" s="14" t="n">
        <v>0.2687918925824373</v>
      </c>
      <c r="M38" s="15" t="inlineStr">
        <is>
          <t>LÃI</t>
        </is>
      </c>
    </row>
    <row r="39" ht="21" customHeight="1">
      <c r="A39" s="19" t="n">
        <v>32</v>
      </c>
      <c r="B39" s="20" t="inlineStr">
        <is>
          <t>HCM</t>
        </is>
      </c>
      <c r="C39" s="21" t="inlineStr">
        <is>
          <t>Ngân Hàng &amp; Tài Chính</t>
        </is>
      </c>
      <c r="D39" s="19" t="inlineStr">
        <is>
          <t>HOSE</t>
        </is>
      </c>
      <c r="E39" s="20" t="inlineStr">
        <is>
          <t>#13</t>
        </is>
      </c>
      <c r="F39" s="22" t="n">
        <v>56000000</v>
      </c>
      <c r="G39" s="22" t="n">
        <v>24698.43673415864</v>
      </c>
      <c r="H39" s="22" t="n">
        <v>27450</v>
      </c>
      <c r="I39" s="23" t="n">
        <v>2267.349978573762</v>
      </c>
      <c r="J39" s="24" t="n">
        <v>62238756.91184976</v>
      </c>
      <c r="K39" s="13" t="n">
        <v>6238756.91184976</v>
      </c>
      <c r="L39" s="14" t="n">
        <v>0.1114063734258886</v>
      </c>
      <c r="M39" s="15" t="inlineStr">
        <is>
          <t>LÃI</t>
        </is>
      </c>
    </row>
    <row r="40" ht="21" customHeight="1">
      <c r="A40" s="19" t="n">
        <v>33</v>
      </c>
      <c r="B40" s="20" t="inlineStr">
        <is>
          <t>ORS</t>
        </is>
      </c>
      <c r="C40" s="21" t="inlineStr">
        <is>
          <t>Ngân Hàng &amp; Tài Chính</t>
        </is>
      </c>
      <c r="D40" s="19" t="inlineStr">
        <is>
          <t>HOSE</t>
        </is>
      </c>
      <c r="E40" s="20" t="inlineStr">
        <is>
          <t>#22</t>
        </is>
      </c>
      <c r="F40" s="22" t="n">
        <v>56000000</v>
      </c>
      <c r="G40" s="22" t="n">
        <v>12410.09487053694</v>
      </c>
      <c r="H40" s="22" t="n">
        <v>13000</v>
      </c>
      <c r="I40" s="23" t="n">
        <v>4512.455431178916</v>
      </c>
      <c r="J40" s="24" t="n">
        <v>58661920.60532591</v>
      </c>
      <c r="K40" s="13" t="n">
        <v>2661920.605325907</v>
      </c>
      <c r="L40" s="14" t="n">
        <v>0.04753429652367692</v>
      </c>
      <c r="M40" s="15" t="inlineStr">
        <is>
          <t>LÃI</t>
        </is>
      </c>
    </row>
    <row r="41" ht="21" customHeight="1">
      <c r="A41" s="19" t="n">
        <v>34</v>
      </c>
      <c r="B41" s="20" t="inlineStr">
        <is>
          <t>VIX</t>
        </is>
      </c>
      <c r="C41" s="21" t="inlineStr">
        <is>
          <t>Ngân Hàng &amp; Tài Chính</t>
        </is>
      </c>
      <c r="D41" s="19" t="inlineStr">
        <is>
          <t>HOSE</t>
        </is>
      </c>
      <c r="E41" s="20" t="inlineStr">
        <is>
          <t>#32</t>
        </is>
      </c>
      <c r="F41" s="22" t="n">
        <v>56000000</v>
      </c>
      <c r="G41" s="22" t="n">
        <v>17014.55230362018</v>
      </c>
      <c r="H41" s="22" t="n">
        <v>16857.142578125</v>
      </c>
      <c r="I41" s="23" t="n">
        <v>3291.300235274772</v>
      </c>
      <c r="J41" s="24" t="n">
        <v>55481917.33344319</v>
      </c>
      <c r="K41" s="16" t="n">
        <v>-518082.6665568128</v>
      </c>
      <c r="L41" s="17" t="n">
        <v>-0.009251476188514515</v>
      </c>
      <c r="M41" s="18" t="inlineStr">
        <is>
          <t>LỖ</t>
        </is>
      </c>
    </row>
    <row r="42" ht="21" customHeight="1">
      <c r="A42" s="19" t="n">
        <v>35</v>
      </c>
      <c r="B42" s="20" t="inlineStr">
        <is>
          <t>NAB</t>
        </is>
      </c>
      <c r="C42" s="21" t="inlineStr">
        <is>
          <t>Ngân Hàng &amp; Tài Chính</t>
        </is>
      </c>
      <c r="D42" s="19" t="inlineStr">
        <is>
          <t>HOSE</t>
        </is>
      </c>
      <c r="E42" s="20" t="inlineStr">
        <is>
          <t>#37</t>
        </is>
      </c>
      <c r="F42" s="22" t="n">
        <v>56000000</v>
      </c>
      <c r="G42" s="22" t="n">
        <v>11888.66427537075</v>
      </c>
      <c r="H42" s="22" t="n">
        <v>11700</v>
      </c>
      <c r="I42" s="23" t="n">
        <v>4710.369365548733</v>
      </c>
      <c r="J42" s="24" t="n">
        <v>55111321.57692018</v>
      </c>
      <c r="K42" s="16" t="n">
        <v>-888678.4230798185</v>
      </c>
      <c r="L42" s="17" t="n">
        <v>-0.01586925755499676</v>
      </c>
      <c r="M42" s="18" t="inlineStr">
        <is>
          <t>LỖ</t>
        </is>
      </c>
    </row>
    <row r="43" ht="21" customHeight="1">
      <c r="A43" s="19" t="n">
        <v>36</v>
      </c>
      <c r="B43" s="20" t="inlineStr">
        <is>
          <t>OCB</t>
        </is>
      </c>
      <c r="C43" s="21" t="inlineStr">
        <is>
          <t>Ngân Hàng &amp; Tài Chính</t>
        </is>
      </c>
      <c r="D43" s="19" t="inlineStr">
        <is>
          <t>HOSE</t>
        </is>
      </c>
      <c r="E43" s="20" t="inlineStr">
        <is>
          <t>#40</t>
        </is>
      </c>
      <c r="F43" s="22" t="n">
        <v>56000000</v>
      </c>
      <c r="G43" s="22" t="n">
        <v>10222.42365440332</v>
      </c>
      <c r="H43" s="22" t="n">
        <v>10043.478515625</v>
      </c>
      <c r="I43" s="23" t="n">
        <v>5478.1529207976</v>
      </c>
      <c r="J43" s="24" t="n">
        <v>55019711.16533904</v>
      </c>
      <c r="K43" s="16" t="n">
        <v>-980288.8346609622</v>
      </c>
      <c r="L43" s="17" t="n">
        <v>-0.0175051577618029</v>
      </c>
      <c r="M43" s="18" t="inlineStr">
        <is>
          <t>LỖ</t>
        </is>
      </c>
    </row>
    <row r="44" ht="21" customHeight="1">
      <c r="A44" s="19" t="n">
        <v>37</v>
      </c>
      <c r="B44" s="20" t="inlineStr">
        <is>
          <t>EIB</t>
        </is>
      </c>
      <c r="C44" s="21" t="inlineStr">
        <is>
          <t>Ngân Hàng &amp; Tài Chính</t>
        </is>
      </c>
      <c r="D44" s="19" t="inlineStr">
        <is>
          <t>HOSE</t>
        </is>
      </c>
      <c r="E44" s="20" t="inlineStr">
        <is>
          <t>#56</t>
        </is>
      </c>
      <c r="F44" s="22" t="n">
        <v>56000000</v>
      </c>
      <c r="G44" s="22" t="n">
        <v>23194.69210868426</v>
      </c>
      <c r="H44" s="22" t="n">
        <v>21300</v>
      </c>
      <c r="I44" s="23" t="n">
        <v>2414.34547773252</v>
      </c>
      <c r="J44" s="24" t="n">
        <v>51425558.67570268</v>
      </c>
      <c r="K44" s="16" t="n">
        <v>-4574441.324297324</v>
      </c>
      <c r="L44" s="17" t="n">
        <v>-0.08168645221959507</v>
      </c>
      <c r="M44" s="18" t="inlineStr">
        <is>
          <t>LỖ</t>
        </is>
      </c>
    </row>
    <row r="45" ht="21" customHeight="1">
      <c r="A45" s="19" t="n">
        <v>38</v>
      </c>
      <c r="B45" s="20" t="inlineStr">
        <is>
          <t>AGR</t>
        </is>
      </c>
      <c r="C45" s="21" t="inlineStr">
        <is>
          <t>Ngân Hàng &amp; Tài Chính</t>
        </is>
      </c>
      <c r="D45" s="19" t="inlineStr">
        <is>
          <t>HOSE</t>
        </is>
      </c>
      <c r="E45" s="20" t="inlineStr">
        <is>
          <t>#62</t>
        </is>
      </c>
      <c r="F45" s="22" t="n">
        <v>56000000</v>
      </c>
      <c r="G45" s="22" t="n">
        <v>15898.78511200616</v>
      </c>
      <c r="H45" s="22" t="n">
        <v>14450</v>
      </c>
      <c r="I45" s="23" t="n">
        <v>3522.281709293054</v>
      </c>
      <c r="J45" s="24" t="n">
        <v>50896970.69928463</v>
      </c>
      <c r="K45" s="16" t="n">
        <v>-5103029.300715372</v>
      </c>
      <c r="L45" s="17" t="n">
        <v>-0.0911255232270602</v>
      </c>
      <c r="M45" s="18" t="inlineStr">
        <is>
          <t>LỖ</t>
        </is>
      </c>
    </row>
    <row r="46" ht="21" customHeight="1">
      <c r="A46" s="19" t="n">
        <v>39</v>
      </c>
      <c r="B46" s="20" t="inlineStr">
        <is>
          <t>VND</t>
        </is>
      </c>
      <c r="C46" s="21" t="inlineStr">
        <is>
          <t>Ngân Hàng &amp; Tài Chính</t>
        </is>
      </c>
      <c r="D46" s="19" t="inlineStr">
        <is>
          <t>HOSE</t>
        </is>
      </c>
      <c r="E46" s="20" t="inlineStr">
        <is>
          <t>#66</t>
        </is>
      </c>
      <c r="F46" s="22" t="n">
        <v>56000000</v>
      </c>
      <c r="G46" s="22" t="n">
        <v>18625.53306891883</v>
      </c>
      <c r="H46" s="22" t="n">
        <v>16850</v>
      </c>
      <c r="I46" s="23" t="n">
        <v>3006.625356320643</v>
      </c>
      <c r="J46" s="24" t="n">
        <v>50661637.25400283</v>
      </c>
      <c r="K46" s="16" t="n">
        <v>-5338362.745997168</v>
      </c>
      <c r="L46" s="17" t="n">
        <v>-0.09532790617852087</v>
      </c>
      <c r="M46" s="18" t="inlineStr">
        <is>
          <t>LỖ</t>
        </is>
      </c>
    </row>
    <row r="47" ht="21" customHeight="1">
      <c r="A47" s="19" t="n">
        <v>40</v>
      </c>
      <c r="B47" s="20" t="inlineStr">
        <is>
          <t>VCI</t>
        </is>
      </c>
      <c r="C47" s="21" t="inlineStr">
        <is>
          <t>Ngân Hàng &amp; Tài Chính</t>
        </is>
      </c>
      <c r="D47" s="19" t="inlineStr">
        <is>
          <t>HOSE</t>
        </is>
      </c>
      <c r="E47" s="20" t="inlineStr">
        <is>
          <t>#69</t>
        </is>
      </c>
      <c r="F47" s="22" t="n">
        <v>56000000</v>
      </c>
      <c r="G47" s="22" t="n">
        <v>27820.13619544705</v>
      </c>
      <c r="H47" s="22" t="n">
        <v>24650</v>
      </c>
      <c r="I47" s="23" t="n">
        <v>2012.930476205388</v>
      </c>
      <c r="J47" s="24" t="n">
        <v>49618736.23846283</v>
      </c>
      <c r="K47" s="16" t="n">
        <v>-6381263.761537172</v>
      </c>
      <c r="L47" s="17" t="n">
        <v>-0.1139511385988781</v>
      </c>
      <c r="M47" s="18" t="inlineStr">
        <is>
          <t>LỖ</t>
        </is>
      </c>
    </row>
    <row r="48" ht="21" customHeight="1">
      <c r="A48" s="19" t="n">
        <v>41</v>
      </c>
      <c r="B48" s="20" t="inlineStr">
        <is>
          <t>CTS</t>
        </is>
      </c>
      <c r="C48" s="21" t="inlineStr">
        <is>
          <t>Ngân Hàng &amp; Tài Chính</t>
        </is>
      </c>
      <c r="D48" s="19" t="inlineStr">
        <is>
          <t>HOSE</t>
        </is>
      </c>
      <c r="E48" s="20" t="inlineStr">
        <is>
          <t>#76</t>
        </is>
      </c>
      <c r="F48" s="22" t="n">
        <v>56000000</v>
      </c>
      <c r="G48" s="22" t="n">
        <v>24586.13827507369</v>
      </c>
      <c r="H48" s="22" t="n">
        <v>21328.125</v>
      </c>
      <c r="I48" s="23" t="n">
        <v>2277.706216952941</v>
      </c>
      <c r="J48" s="24" t="n">
        <v>48579202.90844944</v>
      </c>
      <c r="K48" s="16" t="n">
        <v>-7420797.091550559</v>
      </c>
      <c r="L48" s="17" t="n">
        <v>-0.1325142337776886</v>
      </c>
      <c r="M48" s="18" t="inlineStr">
        <is>
          <t>LỖ</t>
        </is>
      </c>
    </row>
    <row r="49" ht="21" customHeight="1">
      <c r="A49" s="19" t="n">
        <v>42</v>
      </c>
      <c r="B49" s="20" t="inlineStr">
        <is>
          <t>BSI</t>
        </is>
      </c>
      <c r="C49" s="21" t="inlineStr">
        <is>
          <t>Ngân Hàng &amp; Tài Chính</t>
        </is>
      </c>
      <c r="D49" s="19" t="inlineStr">
        <is>
          <t>HOSE</t>
        </is>
      </c>
      <c r="E49" s="20" t="inlineStr">
        <is>
          <t>#78</t>
        </is>
      </c>
      <c r="F49" s="22" t="n">
        <v>56000000</v>
      </c>
      <c r="G49" s="22" t="n">
        <v>36927.84723207862</v>
      </c>
      <c r="H49" s="22" t="n">
        <v>31818.181640625</v>
      </c>
      <c r="I49" s="23" t="n">
        <v>1516.470744911274</v>
      </c>
      <c r="J49" s="24" t="n">
        <v>48251341.61428083</v>
      </c>
      <c r="K49" s="16" t="n">
        <v>-7748658.385719173</v>
      </c>
      <c r="L49" s="17" t="n">
        <v>-0.1383688997449852</v>
      </c>
      <c r="M49" s="18" t="inlineStr">
        <is>
          <t>LỖ</t>
        </is>
      </c>
    </row>
    <row r="50" ht="21" customHeight="1">
      <c r="A50" s="19" t="n">
        <v>43</v>
      </c>
      <c r="B50" s="20" t="inlineStr">
        <is>
          <t>VDS</t>
        </is>
      </c>
      <c r="C50" s="21" t="inlineStr">
        <is>
          <t>Ngân Hàng &amp; Tài Chính</t>
        </is>
      </c>
      <c r="D50" s="19" t="inlineStr">
        <is>
          <t>HOSE</t>
        </is>
      </c>
      <c r="E50" s="20" t="inlineStr">
        <is>
          <t>#85</t>
        </is>
      </c>
      <c r="F50" s="22" t="n">
        <v>56000000</v>
      </c>
      <c r="G50" s="22" t="n">
        <v>16902.32159264563</v>
      </c>
      <c r="H50" s="22" t="n">
        <v>13650</v>
      </c>
      <c r="I50" s="23" t="n">
        <v>3313.154331672767</v>
      </c>
      <c r="J50" s="24" t="n">
        <v>45224556.62733326</v>
      </c>
      <c r="K50" s="16" t="n">
        <v>-10775443.37266674</v>
      </c>
      <c r="L50" s="17" t="n">
        <v>-0.1924186316547632</v>
      </c>
      <c r="M50" s="18" t="inlineStr">
        <is>
          <t>LỖ</t>
        </is>
      </c>
    </row>
    <row r="51" ht="21" customHeight="1">
      <c r="A51" s="19" t="n">
        <v>44</v>
      </c>
      <c r="B51" s="20" t="inlineStr">
        <is>
          <t>FTS</t>
        </is>
      </c>
      <c r="C51" s="21" t="inlineStr">
        <is>
          <t>Ngân Hàng &amp; Tài Chính</t>
        </is>
      </c>
      <c r="D51" s="19" t="inlineStr">
        <is>
          <t>HOSE</t>
        </is>
      </c>
      <c r="E51" s="20" t="inlineStr">
        <is>
          <t>#88</t>
        </is>
      </c>
      <c r="F51" s="22" t="n">
        <v>56000000</v>
      </c>
      <c r="G51" s="22" t="n">
        <v>30078.16934477193</v>
      </c>
      <c r="H51" s="22" t="n">
        <v>24000</v>
      </c>
      <c r="I51" s="23" t="n">
        <v>1861.815436907024</v>
      </c>
      <c r="J51" s="24" t="n">
        <v>44683570.48576857</v>
      </c>
      <c r="K51" s="16" t="n">
        <v>-11316429.51423143</v>
      </c>
      <c r="L51" s="17" t="n">
        <v>-0.2020790984684184</v>
      </c>
      <c r="M51" s="18" t="inlineStr">
        <is>
          <t>LỖ</t>
        </is>
      </c>
    </row>
    <row r="52" ht="21" customHeight="1">
      <c r="A52" s="25" t="n">
        <v>45</v>
      </c>
      <c r="B52" s="26" t="inlineStr">
        <is>
          <t>NVL</t>
        </is>
      </c>
      <c r="C52" s="27" t="inlineStr">
        <is>
          <t>Bất Động Sản &amp; KCN</t>
        </is>
      </c>
      <c r="D52" s="25" t="inlineStr">
        <is>
          <t>HOSE</t>
        </is>
      </c>
      <c r="E52" s="26" t="inlineStr">
        <is>
          <t>#27</t>
        </is>
      </c>
      <c r="F52" s="28" t="n">
        <v>56000000</v>
      </c>
      <c r="G52" s="28" t="n">
        <v>13583.54496468673</v>
      </c>
      <c r="H52" s="28" t="n">
        <v>14046.51171875</v>
      </c>
      <c r="I52" s="29" t="n">
        <v>4122.635154930745</v>
      </c>
      <c r="J52" s="30" t="n">
        <v>57908643.01586543</v>
      </c>
      <c r="K52" s="13" t="n">
        <v>1908643.01586543</v>
      </c>
      <c r="L52" s="14" t="n">
        <v>0.03408291099759697</v>
      </c>
      <c r="M52" s="15" t="inlineStr">
        <is>
          <t>LÃI</t>
        </is>
      </c>
    </row>
    <row r="53" ht="21" customHeight="1">
      <c r="A53" s="25" t="n">
        <v>46</v>
      </c>
      <c r="B53" s="26" t="inlineStr">
        <is>
          <t>KBC</t>
        </is>
      </c>
      <c r="C53" s="27" t="inlineStr">
        <is>
          <t>Bất Động Sản &amp; KCN</t>
        </is>
      </c>
      <c r="D53" s="25" t="inlineStr">
        <is>
          <t>HOSE</t>
        </is>
      </c>
      <c r="E53" s="26" t="inlineStr">
        <is>
          <t>#50</t>
        </is>
      </c>
      <c r="F53" s="28" t="n">
        <v>56000000</v>
      </c>
      <c r="G53" s="28" t="n">
        <v>32254.16534991565</v>
      </c>
      <c r="H53" s="28" t="n">
        <v>30500</v>
      </c>
      <c r="I53" s="29" t="n">
        <v>1736.209862895939</v>
      </c>
      <c r="J53" s="30" t="n">
        <v>52954400.81832614</v>
      </c>
      <c r="K53" s="16" t="n">
        <v>-3045599.181673862</v>
      </c>
      <c r="L53" s="17" t="n">
        <v>-0.05438569967274754</v>
      </c>
      <c r="M53" s="18" t="inlineStr">
        <is>
          <t>LỖ</t>
        </is>
      </c>
    </row>
    <row r="54" ht="21" customHeight="1">
      <c r="A54" s="25" t="n">
        <v>47</v>
      </c>
      <c r="B54" s="26" t="inlineStr">
        <is>
          <t>CII</t>
        </is>
      </c>
      <c r="C54" s="27" t="inlineStr">
        <is>
          <t>Bất Động Sản &amp; KCN</t>
        </is>
      </c>
      <c r="D54" s="25" t="inlineStr">
        <is>
          <t>HOSE</t>
        </is>
      </c>
      <c r="E54" s="26" t="inlineStr">
        <is>
          <t>#52</t>
        </is>
      </c>
      <c r="F54" s="28" t="n">
        <v>56000000</v>
      </c>
      <c r="G54" s="28" t="n">
        <v>18217.87615620244</v>
      </c>
      <c r="H54" s="28" t="n">
        <v>17100</v>
      </c>
      <c r="I54" s="29" t="n">
        <v>3073.903868916921</v>
      </c>
      <c r="J54" s="30" t="n">
        <v>52563756.15847934</v>
      </c>
      <c r="K54" s="16" t="n">
        <v>-3436243.84152066</v>
      </c>
      <c r="L54" s="17" t="n">
        <v>-0.06136149717001178</v>
      </c>
      <c r="M54" s="18" t="inlineStr">
        <is>
          <t>LỖ</t>
        </is>
      </c>
    </row>
    <row r="55" ht="21" customHeight="1">
      <c r="A55" s="25" t="n">
        <v>48</v>
      </c>
      <c r="B55" s="26" t="inlineStr">
        <is>
          <t>CRE</t>
        </is>
      </c>
      <c r="C55" s="27" t="inlineStr">
        <is>
          <t>Bất Động Sản &amp; KCN</t>
        </is>
      </c>
      <c r="D55" s="25" t="inlineStr">
        <is>
          <t>HOSE</t>
        </is>
      </c>
      <c r="E55" s="26" t="inlineStr">
        <is>
          <t>#54</t>
        </is>
      </c>
      <c r="F55" s="28" t="n">
        <v>56000000</v>
      </c>
      <c r="G55" s="28" t="n">
        <v>8519.49258872105</v>
      </c>
      <c r="H55" s="28" t="n">
        <v>7900</v>
      </c>
      <c r="I55" s="29" t="n">
        <v>6573.161419746801</v>
      </c>
      <c r="J55" s="30" t="n">
        <v>51927975.21599972</v>
      </c>
      <c r="K55" s="16" t="n">
        <v>-4072024.784000278</v>
      </c>
      <c r="L55" s="17" t="n">
        <v>-0.07271472828571925</v>
      </c>
      <c r="M55" s="18" t="inlineStr">
        <is>
          <t>LỖ</t>
        </is>
      </c>
    </row>
    <row r="56" ht="21" customHeight="1">
      <c r="A56" s="25" t="n">
        <v>49</v>
      </c>
      <c r="B56" s="26" t="inlineStr">
        <is>
          <t>DXG</t>
        </is>
      </c>
      <c r="C56" s="27" t="inlineStr">
        <is>
          <t>Bất Động Sản &amp; KCN</t>
        </is>
      </c>
      <c r="D56" s="25" t="inlineStr">
        <is>
          <t>HOSE</t>
        </is>
      </c>
      <c r="E56" s="26" t="inlineStr">
        <is>
          <t>#74</t>
        </is>
      </c>
      <c r="F56" s="28" t="n">
        <v>56000000</v>
      </c>
      <c r="G56" s="28" t="n">
        <v>14947.35369611866</v>
      </c>
      <c r="H56" s="28" t="n">
        <v>13050</v>
      </c>
      <c r="I56" s="29" t="n">
        <v>3746.482563969926</v>
      </c>
      <c r="J56" s="30" t="n">
        <v>48891597.45980754</v>
      </c>
      <c r="K56" s="16" t="n">
        <v>-7108402.540192463</v>
      </c>
      <c r="L56" s="17" t="n">
        <v>-0.126935759646294</v>
      </c>
      <c r="M56" s="18" t="inlineStr">
        <is>
          <t>LỖ</t>
        </is>
      </c>
    </row>
    <row r="57" ht="21" customHeight="1">
      <c r="A57" s="25" t="n">
        <v>50</v>
      </c>
      <c r="B57" s="26" t="inlineStr">
        <is>
          <t>PDR</t>
        </is>
      </c>
      <c r="C57" s="27" t="inlineStr">
        <is>
          <t>Bất Động Sản &amp; KCN</t>
        </is>
      </c>
      <c r="D57" s="25" t="inlineStr">
        <is>
          <t>HOSE</t>
        </is>
      </c>
      <c r="E57" s="26" t="inlineStr">
        <is>
          <t>#75</t>
        </is>
      </c>
      <c r="F57" s="28" t="n">
        <v>56000000</v>
      </c>
      <c r="G57" s="28" t="n">
        <v>18486.67025667863</v>
      </c>
      <c r="H57" s="28" t="n">
        <v>16050</v>
      </c>
      <c r="I57" s="29" t="n">
        <v>3029.209653359237</v>
      </c>
      <c r="J57" s="30" t="n">
        <v>48618814.93641575</v>
      </c>
      <c r="K57" s="16" t="n">
        <v>-7381185.063584246</v>
      </c>
      <c r="L57" s="17" t="n">
        <v>-0.131806876135433</v>
      </c>
      <c r="M57" s="18" t="inlineStr">
        <is>
          <t>LỖ</t>
        </is>
      </c>
    </row>
    <row r="58" ht="21" customHeight="1">
      <c r="A58" s="25" t="n">
        <v>51</v>
      </c>
      <c r="B58" s="26" t="inlineStr">
        <is>
          <t>DXS</t>
        </is>
      </c>
      <c r="C58" s="27" t="inlineStr">
        <is>
          <t>Bất Động Sản &amp; KCN</t>
        </is>
      </c>
      <c r="D58" s="25" t="inlineStr">
        <is>
          <t>HOSE</t>
        </is>
      </c>
      <c r="E58" s="26" t="inlineStr">
        <is>
          <t>#77</t>
        </is>
      </c>
      <c r="F58" s="28" t="n">
        <v>56000000</v>
      </c>
      <c r="G58" s="28" t="n">
        <v>8763.300112160328</v>
      </c>
      <c r="H58" s="28" t="n">
        <v>7560</v>
      </c>
      <c r="I58" s="29" t="n">
        <v>6390.286682330097</v>
      </c>
      <c r="J58" s="30" t="n">
        <v>48310567.31841554</v>
      </c>
      <c r="K58" s="16" t="n">
        <v>-7689432.681584463</v>
      </c>
      <c r="L58" s="17" t="n">
        <v>-0.1373112978854368</v>
      </c>
      <c r="M58" s="18" t="inlineStr">
        <is>
          <t>LỖ</t>
        </is>
      </c>
    </row>
    <row r="59" ht="21" customHeight="1">
      <c r="A59" s="25" t="n">
        <v>52</v>
      </c>
      <c r="B59" s="26" t="inlineStr">
        <is>
          <t>TCH</t>
        </is>
      </c>
      <c r="C59" s="27" t="inlineStr">
        <is>
          <t>Bất Động Sản &amp; KCN</t>
        </is>
      </c>
      <c r="D59" s="25" t="inlineStr">
        <is>
          <t>HOSE</t>
        </is>
      </c>
      <c r="E59" s="26" t="inlineStr">
        <is>
          <t>#80</t>
        </is>
      </c>
      <c r="F59" s="28" t="n">
        <v>56000000</v>
      </c>
      <c r="G59" s="28" t="n">
        <v>16160.13192577934</v>
      </c>
      <c r="H59" s="28" t="n">
        <v>13681.818359375</v>
      </c>
      <c r="I59" s="29" t="n">
        <v>3465.318244751851</v>
      </c>
      <c r="J59" s="30" t="n">
        <v>47411854.78212303</v>
      </c>
      <c r="K59" s="16" t="n">
        <v>-8588145.217876971</v>
      </c>
      <c r="L59" s="17" t="n">
        <v>-0.1533597360335173</v>
      </c>
      <c r="M59" s="18" t="inlineStr">
        <is>
          <t>LỖ</t>
        </is>
      </c>
    </row>
    <row r="60" ht="21" customHeight="1">
      <c r="A60" s="25" t="n">
        <v>53</v>
      </c>
      <c r="B60" s="26" t="inlineStr">
        <is>
          <t>HDG</t>
        </is>
      </c>
      <c r="C60" s="27" t="inlineStr">
        <is>
          <t>Bất Động Sản &amp; KCN</t>
        </is>
      </c>
      <c r="D60" s="25" t="inlineStr">
        <is>
          <t>HOSE</t>
        </is>
      </c>
      <c r="E60" s="26" t="inlineStr">
        <is>
          <t>#81</t>
        </is>
      </c>
      <c r="F60" s="28" t="n">
        <v>56000000</v>
      </c>
      <c r="G60" s="28" t="n">
        <v>25235.26567849751</v>
      </c>
      <c r="H60" s="28" t="n">
        <v>21272.7265625</v>
      </c>
      <c r="I60" s="29" t="n">
        <v>2219.116719968458</v>
      </c>
      <c r="J60" s="30" t="n">
        <v>47206663.19416089</v>
      </c>
      <c r="K60" s="16" t="n">
        <v>-8793336.805839106</v>
      </c>
      <c r="L60" s="17" t="n">
        <v>-0.1570238715328412</v>
      </c>
      <c r="M60" s="18" t="inlineStr">
        <is>
          <t>LỖ</t>
        </is>
      </c>
    </row>
    <row r="61" ht="21" customHeight="1">
      <c r="A61" s="25" t="n">
        <v>54</v>
      </c>
      <c r="B61" s="26" t="inlineStr">
        <is>
          <t>NLG</t>
        </is>
      </c>
      <c r="C61" s="27" t="inlineStr">
        <is>
          <t>Bất Động Sản &amp; KCN</t>
        </is>
      </c>
      <c r="D61" s="25" t="inlineStr">
        <is>
          <t>HOSE</t>
        </is>
      </c>
      <c r="E61" s="26" t="inlineStr">
        <is>
          <t>#89</t>
        </is>
      </c>
      <c r="F61" s="28" t="n">
        <v>56000000</v>
      </c>
      <c r="G61" s="28" t="n">
        <v>33274.27524311982</v>
      </c>
      <c r="H61" s="28" t="n">
        <v>26400</v>
      </c>
      <c r="I61" s="29" t="n">
        <v>1682.981810748206</v>
      </c>
      <c r="J61" s="30" t="n">
        <v>44430719.80375263</v>
      </c>
      <c r="K61" s="16" t="n">
        <v>-11569280.19624737</v>
      </c>
      <c r="L61" s="17" t="n">
        <v>-0.206594289218703</v>
      </c>
      <c r="M61" s="18" t="inlineStr">
        <is>
          <t>LỖ</t>
        </is>
      </c>
    </row>
    <row r="62" ht="21" customHeight="1">
      <c r="A62" s="25" t="n">
        <v>55</v>
      </c>
      <c r="B62" s="26" t="inlineStr">
        <is>
          <t>KHG</t>
        </is>
      </c>
      <c r="C62" s="27" t="inlineStr">
        <is>
          <t>Bất Động Sản &amp; KCN</t>
        </is>
      </c>
      <c r="D62" s="25" t="inlineStr">
        <is>
          <t>HOSE</t>
        </is>
      </c>
      <c r="E62" s="26" t="inlineStr">
        <is>
          <t>#90</t>
        </is>
      </c>
      <c r="F62" s="28" t="n">
        <v>56000000</v>
      </c>
      <c r="G62" s="28" t="n">
        <v>6366.708120616619</v>
      </c>
      <c r="H62" s="28" t="n">
        <v>5020</v>
      </c>
      <c r="I62" s="29" t="n">
        <v>8795.754248362869</v>
      </c>
      <c r="J62" s="30" t="n">
        <v>44154686.32678161</v>
      </c>
      <c r="K62" s="16" t="n">
        <v>-11845313.67321839</v>
      </c>
      <c r="L62" s="17" t="n">
        <v>-0.2115234584503284</v>
      </c>
      <c r="M62" s="18" t="inlineStr">
        <is>
          <t>LỖ</t>
        </is>
      </c>
    </row>
    <row r="63" ht="21" customHeight="1">
      <c r="A63" s="25" t="n">
        <v>56</v>
      </c>
      <c r="B63" s="26" t="inlineStr">
        <is>
          <t>HQC</t>
        </is>
      </c>
      <c r="C63" s="27" t="inlineStr">
        <is>
          <t>Bất Động Sản &amp; KCN</t>
        </is>
      </c>
      <c r="D63" s="25" t="inlineStr">
        <is>
          <t>HOSE</t>
        </is>
      </c>
      <c r="E63" s="26" t="inlineStr">
        <is>
          <t>#91</t>
        </is>
      </c>
      <c r="F63" s="28" t="n">
        <v>56000000</v>
      </c>
      <c r="G63" s="28" t="n">
        <v>3082.433047272692</v>
      </c>
      <c r="H63" s="28" t="n">
        <v>2410</v>
      </c>
      <c r="I63" s="29" t="n">
        <v>18167.46678392521</v>
      </c>
      <c r="J63" s="30" t="n">
        <v>43783594.94925976</v>
      </c>
      <c r="K63" s="16" t="n">
        <v>-12216405.05074024</v>
      </c>
      <c r="L63" s="17" t="n">
        <v>-0.21815009019179</v>
      </c>
      <c r="M63" s="18" t="inlineStr">
        <is>
          <t>LỖ</t>
        </is>
      </c>
    </row>
    <row r="64" ht="21" customHeight="1">
      <c r="A64" s="25" t="n">
        <v>57</v>
      </c>
      <c r="B64" s="26" t="inlineStr">
        <is>
          <t>KDH</t>
        </is>
      </c>
      <c r="C64" s="27" t="inlineStr">
        <is>
          <t>Bất Động Sản &amp; KCN</t>
        </is>
      </c>
      <c r="D64" s="25" t="inlineStr">
        <is>
          <t>HOSE</t>
        </is>
      </c>
      <c r="E64" s="26" t="inlineStr">
        <is>
          <t>#92</t>
        </is>
      </c>
      <c r="F64" s="28" t="n">
        <v>56000000</v>
      </c>
      <c r="G64" s="28" t="n">
        <v>28859.190864182</v>
      </c>
      <c r="H64" s="28" t="n">
        <v>22550</v>
      </c>
      <c r="I64" s="29" t="n">
        <v>1940.456344169485</v>
      </c>
      <c r="J64" s="30" t="n">
        <v>43757290.56102188</v>
      </c>
      <c r="K64" s="16" t="n">
        <v>-12242709.43897812</v>
      </c>
      <c r="L64" s="17" t="n">
        <v>-0.2186198114103236</v>
      </c>
      <c r="M64" s="18" t="inlineStr">
        <is>
          <t>LỖ</t>
        </is>
      </c>
    </row>
    <row r="65" ht="21" customHeight="1">
      <c r="A65" s="25" t="n">
        <v>58</v>
      </c>
      <c r="B65" s="26" t="inlineStr">
        <is>
          <t>DIG</t>
        </is>
      </c>
      <c r="C65" s="27" t="inlineStr">
        <is>
          <t>Bất Động Sản &amp; KCN</t>
        </is>
      </c>
      <c r="D65" s="25" t="inlineStr">
        <is>
          <t>HOSE</t>
        </is>
      </c>
      <c r="E65" s="26" t="inlineStr">
        <is>
          <t>#93</t>
        </is>
      </c>
      <c r="F65" s="28" t="n">
        <v>56000000</v>
      </c>
      <c r="G65" s="28" t="n">
        <v>15945.00419961818</v>
      </c>
      <c r="H65" s="28" t="n">
        <v>12311.3203125</v>
      </c>
      <c r="I65" s="29" t="n">
        <v>3512.071825063614</v>
      </c>
      <c r="J65" s="30" t="n">
        <v>43238241.19886462</v>
      </c>
      <c r="K65" s="16" t="n">
        <v>-12761758.80113538</v>
      </c>
      <c r="L65" s="17" t="n">
        <v>-0.2278885500202747</v>
      </c>
      <c r="M65" s="18" t="inlineStr">
        <is>
          <t>LỖ</t>
        </is>
      </c>
    </row>
    <row r="66" ht="21" customHeight="1">
      <c r="A66" s="25" t="n">
        <v>59</v>
      </c>
      <c r="B66" s="26" t="inlineStr">
        <is>
          <t>HDC</t>
        </is>
      </c>
      <c r="C66" s="27" t="inlineStr">
        <is>
          <t>Bất Động Sản &amp; KCN</t>
        </is>
      </c>
      <c r="D66" s="25" t="inlineStr">
        <is>
          <t>HOSE</t>
        </is>
      </c>
      <c r="E66" s="26" t="inlineStr">
        <is>
          <t>#96</t>
        </is>
      </c>
      <c r="F66" s="28" t="n">
        <v>56000000</v>
      </c>
      <c r="G66" s="28" t="n">
        <v>20371.47099821325</v>
      </c>
      <c r="H66" s="28" t="n">
        <v>15217.3916015625</v>
      </c>
      <c r="I66" s="29" t="n">
        <v>2748.942381476118</v>
      </c>
      <c r="J66" s="30" t="n">
        <v>41831732.70905389</v>
      </c>
      <c r="K66" s="16" t="n">
        <v>-14168267.29094611</v>
      </c>
      <c r="L66" s="17" t="n">
        <v>-0.2530047730526091</v>
      </c>
      <c r="M66" s="18" t="inlineStr">
        <is>
          <t>LỖ</t>
        </is>
      </c>
    </row>
    <row r="67" ht="21" customHeight="1">
      <c r="A67" s="25" t="n">
        <v>60</v>
      </c>
      <c r="B67" s="26" t="inlineStr">
        <is>
          <t>SCR</t>
        </is>
      </c>
      <c r="C67" s="27" t="inlineStr">
        <is>
          <t>Bất Động Sản &amp; KCN</t>
        </is>
      </c>
      <c r="D67" s="25" t="inlineStr">
        <is>
          <t>HOSE</t>
        </is>
      </c>
      <c r="E67" s="26" t="inlineStr">
        <is>
          <t>#97</t>
        </is>
      </c>
      <c r="F67" s="28" t="n">
        <v>56000000</v>
      </c>
      <c r="G67" s="28" t="n">
        <v>7274.839810574973</v>
      </c>
      <c r="H67" s="28" t="n">
        <v>5280</v>
      </c>
      <c r="I67" s="29" t="n">
        <v>7697.764000053493</v>
      </c>
      <c r="J67" s="30" t="n">
        <v>40644193.92028245</v>
      </c>
      <c r="K67" s="16" t="n">
        <v>-15355806.07971755</v>
      </c>
      <c r="L67" s="17" t="n">
        <v>-0.2742108228520992</v>
      </c>
      <c r="M67" s="18" t="inlineStr">
        <is>
          <t>LỖ</t>
        </is>
      </c>
    </row>
    <row r="68" ht="21" customHeight="1">
      <c r="A68" s="25" t="n">
        <v>61</v>
      </c>
      <c r="B68" s="26" t="inlineStr">
        <is>
          <t>NHA</t>
        </is>
      </c>
      <c r="C68" s="27" t="inlineStr">
        <is>
          <t>Bất Động Sản &amp; KCN</t>
        </is>
      </c>
      <c r="D68" s="25" t="inlineStr">
        <is>
          <t>HOSE</t>
        </is>
      </c>
      <c r="E68" s="26" t="inlineStr">
        <is>
          <t>#98</t>
        </is>
      </c>
      <c r="F68" s="28" t="n">
        <v>56000000</v>
      </c>
      <c r="G68" s="28" t="n">
        <v>14800.77077410099</v>
      </c>
      <c r="H68" s="28" t="n">
        <v>10636.36328125</v>
      </c>
      <c r="I68" s="29" t="n">
        <v>3783.586737117173</v>
      </c>
      <c r="J68" s="30" t="n">
        <v>40243603.0420976</v>
      </c>
      <c r="K68" s="16" t="n">
        <v>-15756396.9579024</v>
      </c>
      <c r="L68" s="17" t="n">
        <v>-0.2813642313911143</v>
      </c>
      <c r="M68" s="18" t="inlineStr">
        <is>
          <t>LỖ</t>
        </is>
      </c>
    </row>
    <row r="69" ht="21" customHeight="1">
      <c r="A69" s="25" t="n">
        <v>62</v>
      </c>
      <c r="B69" s="26" t="inlineStr">
        <is>
          <t>SZC</t>
        </is>
      </c>
      <c r="C69" s="27" t="inlineStr">
        <is>
          <t>Bất Động Sản &amp; KCN</t>
        </is>
      </c>
      <c r="D69" s="25" t="inlineStr">
        <is>
          <t>HOSE</t>
        </is>
      </c>
      <c r="E69" s="26" t="inlineStr">
        <is>
          <t>#99</t>
        </is>
      </c>
      <c r="F69" s="28" t="n">
        <v>56000000</v>
      </c>
      <c r="G69" s="28" t="n">
        <v>31775.2185390249</v>
      </c>
      <c r="H69" s="28" t="n">
        <v>22650</v>
      </c>
      <c r="I69" s="29" t="n">
        <v>1762.379696341767</v>
      </c>
      <c r="J69" s="30" t="n">
        <v>39917900.12214103</v>
      </c>
      <c r="K69" s="16" t="n">
        <v>-16082099.87785897</v>
      </c>
      <c r="L69" s="17" t="n">
        <v>-0.2871803549617674</v>
      </c>
      <c r="M69" s="18" t="inlineStr">
        <is>
          <t>LỖ</t>
        </is>
      </c>
    </row>
    <row r="70" ht="21" customHeight="1">
      <c r="A70" s="31" t="n">
        <v>63</v>
      </c>
      <c r="B70" s="32" t="inlineStr">
        <is>
          <t>HSG</t>
        </is>
      </c>
      <c r="C70" s="33" t="inlineStr">
        <is>
          <t>Thép, Vật Liệu &amp; Xây Dựng</t>
        </is>
      </c>
      <c r="D70" s="31" t="inlineStr">
        <is>
          <t>HOSE</t>
        </is>
      </c>
      <c r="E70" s="32" t="inlineStr">
        <is>
          <t>#43</t>
        </is>
      </c>
      <c r="F70" s="34" t="n">
        <v>56000000</v>
      </c>
      <c r="G70" s="34" t="n">
        <v>12817.99127847748</v>
      </c>
      <c r="H70" s="34" t="n">
        <v>12450</v>
      </c>
      <c r="I70" s="35" t="n">
        <v>4368.85926845877</v>
      </c>
      <c r="J70" s="36" t="n">
        <v>54392297.89231169</v>
      </c>
      <c r="K70" s="16" t="n">
        <v>-1607702.107688308</v>
      </c>
      <c r="L70" s="17" t="n">
        <v>-0.02870896620871978</v>
      </c>
      <c r="M70" s="18" t="inlineStr">
        <is>
          <t>LỖ</t>
        </is>
      </c>
    </row>
    <row r="71" ht="21" customHeight="1">
      <c r="A71" s="31" t="n">
        <v>64</v>
      </c>
      <c r="B71" s="32" t="inlineStr">
        <is>
          <t>CTD</t>
        </is>
      </c>
      <c r="C71" s="33" t="inlineStr">
        <is>
          <t>Thép, Vật Liệu &amp; Xây Dựng</t>
        </is>
      </c>
      <c r="D71" s="31" t="inlineStr">
        <is>
          <t>HOSE</t>
        </is>
      </c>
      <c r="E71" s="32" t="inlineStr">
        <is>
          <t>#49</t>
        </is>
      </c>
      <c r="F71" s="34" t="n">
        <v>56000000</v>
      </c>
      <c r="G71" s="34" t="n">
        <v>75691.08196247809</v>
      </c>
      <c r="H71" s="34" t="n">
        <v>71800</v>
      </c>
      <c r="I71" s="35" t="n">
        <v>739.8493791879017</v>
      </c>
      <c r="J71" s="36" t="n">
        <v>53121185.42569134</v>
      </c>
      <c r="K71" s="16" t="n">
        <v>-2878814.574308656</v>
      </c>
      <c r="L71" s="17" t="n">
        <v>-0.05140740311265458</v>
      </c>
      <c r="M71" s="18" t="inlineStr">
        <is>
          <t>LỖ</t>
        </is>
      </c>
    </row>
    <row r="72" ht="21" customHeight="1">
      <c r="A72" s="31" t="n">
        <v>65</v>
      </c>
      <c r="B72" s="32" t="inlineStr">
        <is>
          <t>HT1</t>
        </is>
      </c>
      <c r="C72" s="33" t="inlineStr">
        <is>
          <t>Thép, Vật Liệu &amp; Xây Dựng</t>
        </is>
      </c>
      <c r="D72" s="31" t="inlineStr">
        <is>
          <t>HOSE</t>
        </is>
      </c>
      <c r="E72" s="32" t="inlineStr">
        <is>
          <t>#57</t>
        </is>
      </c>
      <c r="F72" s="34" t="n">
        <v>56000000</v>
      </c>
      <c r="G72" s="34" t="n">
        <v>14861.36012455316</v>
      </c>
      <c r="H72" s="34" t="n">
        <v>13600</v>
      </c>
      <c r="I72" s="35" t="n">
        <v>3768.1611595886</v>
      </c>
      <c r="J72" s="36" t="n">
        <v>51246991.77040496</v>
      </c>
      <c r="K72" s="16" t="n">
        <v>-4753008.229595043</v>
      </c>
      <c r="L72" s="17" t="n">
        <v>-0.08487514695705434</v>
      </c>
      <c r="M72" s="18" t="inlineStr">
        <is>
          <t>LỖ</t>
        </is>
      </c>
    </row>
    <row r="73" ht="21" customHeight="1">
      <c r="A73" s="31" t="n">
        <v>66</v>
      </c>
      <c r="B73" s="32" t="inlineStr">
        <is>
          <t>NKG</t>
        </is>
      </c>
      <c r="C73" s="33" t="inlineStr">
        <is>
          <t>Thép, Vật Liệu &amp; Xây Dựng</t>
        </is>
      </c>
      <c r="D73" s="31" t="inlineStr">
        <is>
          <t>HOSE</t>
        </is>
      </c>
      <c r="E73" s="32" t="inlineStr">
        <is>
          <t>#59</t>
        </is>
      </c>
      <c r="F73" s="34" t="n">
        <v>56000000</v>
      </c>
      <c r="G73" s="34" t="n">
        <v>13631.03882403987</v>
      </c>
      <c r="H73" s="34" t="n">
        <v>12409.0908203125</v>
      </c>
      <c r="I73" s="35" t="n">
        <v>4108.270889907356</v>
      </c>
      <c r="J73" s="36" t="n">
        <v>50979906.58730643</v>
      </c>
      <c r="K73" s="16" t="n">
        <v>-5020093.412693568</v>
      </c>
      <c r="L73" s="17" t="n">
        <v>-0.08964452522667084</v>
      </c>
      <c r="M73" s="18" t="inlineStr">
        <is>
          <t>LỖ</t>
        </is>
      </c>
    </row>
    <row r="74" ht="21" customHeight="1">
      <c r="A74" s="31" t="n">
        <v>67</v>
      </c>
      <c r="B74" s="32" t="inlineStr">
        <is>
          <t>LCG</t>
        </is>
      </c>
      <c r="C74" s="33" t="inlineStr">
        <is>
          <t>Thép, Vật Liệu &amp; Xây Dựng</t>
        </is>
      </c>
      <c r="D74" s="31" t="inlineStr">
        <is>
          <t>HOSE</t>
        </is>
      </c>
      <c r="E74" s="32" t="inlineStr">
        <is>
          <t>#63</t>
        </is>
      </c>
      <c r="F74" s="34" t="n">
        <v>56000000</v>
      </c>
      <c r="G74" s="34" t="n">
        <v>10059.86014912735</v>
      </c>
      <c r="H74" s="34" t="n">
        <v>9130</v>
      </c>
      <c r="I74" s="35" t="n">
        <v>5566.67778377195</v>
      </c>
      <c r="J74" s="36" t="n">
        <v>50823768.16583791</v>
      </c>
      <c r="K74" s="16" t="n">
        <v>-5176231.834162094</v>
      </c>
      <c r="L74" s="17" t="n">
        <v>-0.09243271132432311</v>
      </c>
      <c r="M74" s="18" t="inlineStr">
        <is>
          <t>LỖ</t>
        </is>
      </c>
    </row>
    <row r="75" ht="21" customHeight="1">
      <c r="A75" s="31" t="n">
        <v>68</v>
      </c>
      <c r="B75" s="32" t="inlineStr">
        <is>
          <t>SMC</t>
        </is>
      </c>
      <c r="C75" s="33" t="inlineStr">
        <is>
          <t>Thép, Vật Liệu &amp; Xây Dựng</t>
        </is>
      </c>
      <c r="D75" s="31" t="inlineStr">
        <is>
          <t>HOSE</t>
        </is>
      </c>
      <c r="E75" s="32" t="inlineStr">
        <is>
          <t>#64</t>
        </is>
      </c>
      <c r="F75" s="34" t="n">
        <v>56000000</v>
      </c>
      <c r="G75" s="34" t="n">
        <v>12288.89362390564</v>
      </c>
      <c r="H75" s="34" t="n">
        <v>11150</v>
      </c>
      <c r="I75" s="35" t="n">
        <v>4556.960269479665</v>
      </c>
      <c r="J75" s="36" t="n">
        <v>50810107.00469826</v>
      </c>
      <c r="K75" s="16" t="n">
        <v>-5189892.995301738</v>
      </c>
      <c r="L75" s="17" t="n">
        <v>-0.09267666063038819</v>
      </c>
      <c r="M75" s="18" t="inlineStr">
        <is>
          <t>LỖ</t>
        </is>
      </c>
    </row>
    <row r="76" ht="21" customHeight="1">
      <c r="A76" s="31" t="n">
        <v>69</v>
      </c>
      <c r="B76" s="32" t="inlineStr">
        <is>
          <t>HHV</t>
        </is>
      </c>
      <c r="C76" s="33" t="inlineStr">
        <is>
          <t>Thép, Vật Liệu &amp; Xây Dựng</t>
        </is>
      </c>
      <c r="D76" s="31" t="inlineStr">
        <is>
          <t>HOSE</t>
        </is>
      </c>
      <c r="E76" s="32" t="inlineStr">
        <is>
          <t>#65</t>
        </is>
      </c>
      <c r="F76" s="34" t="n">
        <v>56000000</v>
      </c>
      <c r="G76" s="34" t="n">
        <v>12232.04630999165</v>
      </c>
      <c r="H76" s="34" t="n">
        <v>11095.23828125</v>
      </c>
      <c r="I76" s="35" t="n">
        <v>4578.138324595521</v>
      </c>
      <c r="J76" s="36" t="n">
        <v>50795535.59590997</v>
      </c>
      <c r="K76" s="16" t="n">
        <v>-5204464.404090032</v>
      </c>
      <c r="L76" s="17" t="n">
        <v>-0.09293686435875056</v>
      </c>
      <c r="M76" s="18" t="inlineStr">
        <is>
          <t>LỖ</t>
        </is>
      </c>
    </row>
    <row r="77" ht="21" customHeight="1">
      <c r="A77" s="31" t="n">
        <v>70</v>
      </c>
      <c r="B77" s="32" t="inlineStr">
        <is>
          <t>VCG</t>
        </is>
      </c>
      <c r="C77" s="33" t="inlineStr">
        <is>
          <t>Thép, Vật Liệu &amp; Xây Dựng</t>
        </is>
      </c>
      <c r="D77" s="31" t="inlineStr">
        <is>
          <t>HOSE</t>
        </is>
      </c>
      <c r="E77" s="32" t="inlineStr">
        <is>
          <t>#70</t>
        </is>
      </c>
      <c r="F77" s="34" t="n">
        <v>56000000</v>
      </c>
      <c r="G77" s="34" t="n">
        <v>21070.06929071897</v>
      </c>
      <c r="H77" s="34" t="n">
        <v>18564.814453125</v>
      </c>
      <c r="I77" s="35" t="n">
        <v>2657.7985685442</v>
      </c>
      <c r="J77" s="36" t="n">
        <v>49341537.27880431</v>
      </c>
      <c r="K77" s="16" t="n">
        <v>-6658462.72119569</v>
      </c>
      <c r="L77" s="17" t="n">
        <v>-0.1189011200213516</v>
      </c>
      <c r="M77" s="18" t="inlineStr">
        <is>
          <t>LỖ</t>
        </is>
      </c>
    </row>
    <row r="78" ht="21" customHeight="1">
      <c r="A78" s="31" t="n">
        <v>71</v>
      </c>
      <c r="B78" s="32" t="inlineStr">
        <is>
          <t>PC1</t>
        </is>
      </c>
      <c r="C78" s="33" t="inlineStr">
        <is>
          <t>Thép, Vật Liệu &amp; Xây Dựng</t>
        </is>
      </c>
      <c r="D78" s="31" t="inlineStr">
        <is>
          <t>HOSE</t>
        </is>
      </c>
      <c r="E78" s="32" t="inlineStr">
        <is>
          <t>#72</t>
        </is>
      </c>
      <c r="F78" s="34" t="n">
        <v>56000000</v>
      </c>
      <c r="G78" s="34" t="n">
        <v>22129.98436775447</v>
      </c>
      <c r="H78" s="34" t="n">
        <v>19350</v>
      </c>
      <c r="I78" s="35" t="n">
        <v>2530.503369066876</v>
      </c>
      <c r="J78" s="36" t="n">
        <v>48965240.19144405</v>
      </c>
      <c r="K78" s="16" t="n">
        <v>-7034759.808555946</v>
      </c>
      <c r="L78" s="17" t="n">
        <v>-0.1256207108670705</v>
      </c>
      <c r="M78" s="18" t="inlineStr">
        <is>
          <t>LỖ</t>
        </is>
      </c>
    </row>
    <row r="79" ht="21" customHeight="1">
      <c r="A79" s="31" t="n">
        <v>72</v>
      </c>
      <c r="B79" s="32" t="inlineStr">
        <is>
          <t>FCN</t>
        </is>
      </c>
      <c r="C79" s="33" t="inlineStr">
        <is>
          <t>Thép, Vật Liệu &amp; Xây Dựng</t>
        </is>
      </c>
      <c r="D79" s="31" t="inlineStr">
        <is>
          <t>HOSE</t>
        </is>
      </c>
      <c r="E79" s="32" t="inlineStr">
        <is>
          <t>#73</t>
        </is>
      </c>
      <c r="F79" s="34" t="n">
        <v>56000000</v>
      </c>
      <c r="G79" s="34" t="n">
        <v>14639.72695455039</v>
      </c>
      <c r="H79" s="34" t="n">
        <v>12800</v>
      </c>
      <c r="I79" s="35" t="n">
        <v>3825.207954619249</v>
      </c>
      <c r="J79" s="36" t="n">
        <v>48962661.81912639</v>
      </c>
      <c r="K79" s="16" t="n">
        <v>-7037338.18087361</v>
      </c>
      <c r="L79" s="17" t="n">
        <v>-0.1256667532298859</v>
      </c>
      <c r="M79" s="18" t="inlineStr">
        <is>
          <t>LỖ</t>
        </is>
      </c>
    </row>
    <row r="80" ht="21" customHeight="1">
      <c r="A80" s="31" t="n">
        <v>73</v>
      </c>
      <c r="B80" s="32" t="inlineStr">
        <is>
          <t>KSB</t>
        </is>
      </c>
      <c r="C80" s="33" t="inlineStr">
        <is>
          <t>Thép, Vật Liệu &amp; Xây Dựng</t>
        </is>
      </c>
      <c r="D80" s="31" t="inlineStr">
        <is>
          <t>HOSE</t>
        </is>
      </c>
      <c r="E80" s="32" t="inlineStr">
        <is>
          <t>#79</t>
        </is>
      </c>
      <c r="F80" s="34" t="n">
        <v>56000000</v>
      </c>
      <c r="G80" s="34" t="n">
        <v>17490.01808349634</v>
      </c>
      <c r="H80" s="34" t="n">
        <v>15000</v>
      </c>
      <c r="I80" s="35" t="n">
        <v>3201.826306448583</v>
      </c>
      <c r="J80" s="36" t="n">
        <v>48027394.59672874</v>
      </c>
      <c r="K80" s="16" t="n">
        <v>-7972605.403271258</v>
      </c>
      <c r="L80" s="17" t="n">
        <v>-0.1423679536298439</v>
      </c>
      <c r="M80" s="18" t="inlineStr">
        <is>
          <t>LỖ</t>
        </is>
      </c>
    </row>
    <row r="81" ht="21" customHeight="1">
      <c r="A81" s="37" t="n">
        <v>74</v>
      </c>
      <c r="B81" s="38" t="inlineStr">
        <is>
          <t>PHR</t>
        </is>
      </c>
      <c r="C81" s="39" t="inlineStr">
        <is>
          <t>Hóa Chất, Phân Bón &amp; Cao Su</t>
        </is>
      </c>
      <c r="D81" s="37" t="inlineStr">
        <is>
          <t>HOSE</t>
        </is>
      </c>
      <c r="E81" s="38" t="inlineStr">
        <is>
          <t>#8</t>
        </is>
      </c>
      <c r="F81" s="40" t="n">
        <v>56000000</v>
      </c>
      <c r="G81" s="40" t="n">
        <v>32341.64227254202</v>
      </c>
      <c r="H81" s="40" t="n">
        <v>37388.890625</v>
      </c>
      <c r="I81" s="41" t="n">
        <v>1731.51380279609</v>
      </c>
      <c r="J81" s="42" t="n">
        <v>64739380.18842082</v>
      </c>
      <c r="K81" s="13" t="n">
        <v>8739380.188420817</v>
      </c>
      <c r="L81" s="14" t="n">
        <v>0.1560603605075146</v>
      </c>
      <c r="M81" s="15" t="inlineStr">
        <is>
          <t>LÃI</t>
        </is>
      </c>
    </row>
    <row r="82" ht="21" customHeight="1">
      <c r="A82" s="37" t="n">
        <v>75</v>
      </c>
      <c r="B82" s="38" t="inlineStr">
        <is>
          <t>BFC</t>
        </is>
      </c>
      <c r="C82" s="39" t="inlineStr">
        <is>
          <t>Hóa Chất, Phân Bón &amp; Cao Su</t>
        </is>
      </c>
      <c r="D82" s="37" t="inlineStr">
        <is>
          <t>HOSE</t>
        </is>
      </c>
      <c r="E82" s="38" t="inlineStr">
        <is>
          <t>#11</t>
        </is>
      </c>
      <c r="F82" s="40" t="n">
        <v>56000000</v>
      </c>
      <c r="G82" s="40" t="n">
        <v>48754.5311453451</v>
      </c>
      <c r="H82" s="40" t="n">
        <v>55400</v>
      </c>
      <c r="I82" s="41" t="n">
        <v>1148.611189246287</v>
      </c>
      <c r="J82" s="42" t="n">
        <v>63633059.88424433</v>
      </c>
      <c r="K82" s="13" t="n">
        <v>7633059.88424433</v>
      </c>
      <c r="L82" s="14" t="n">
        <v>0.1363046407900773</v>
      </c>
      <c r="M82" s="15" t="inlineStr">
        <is>
          <t>LÃI</t>
        </is>
      </c>
    </row>
    <row r="83" ht="21" customHeight="1">
      <c r="A83" s="37" t="n">
        <v>76</v>
      </c>
      <c r="B83" s="38" t="inlineStr">
        <is>
          <t>DCM</t>
        </is>
      </c>
      <c r="C83" s="39" t="inlineStr">
        <is>
          <t>Hóa Chất, Phân Bón &amp; Cao Su</t>
        </is>
      </c>
      <c r="D83" s="37" t="inlineStr">
        <is>
          <t>HOSE</t>
        </is>
      </c>
      <c r="E83" s="38" t="inlineStr">
        <is>
          <t>#16</t>
        </is>
      </c>
      <c r="F83" s="40" t="n">
        <v>56000000</v>
      </c>
      <c r="G83" s="40" t="n">
        <v>37319.15621847461</v>
      </c>
      <c r="H83" s="40" t="n">
        <v>39800</v>
      </c>
      <c r="I83" s="41" t="n">
        <v>1500.569832612602</v>
      </c>
      <c r="J83" s="42" t="n">
        <v>59722679.33798157</v>
      </c>
      <c r="K83" s="13" t="n">
        <v>3722679.337981567</v>
      </c>
      <c r="L83" s="14" t="n">
        <v>0.06647641674967084</v>
      </c>
      <c r="M83" s="15" t="inlineStr">
        <is>
          <t>LÃI</t>
        </is>
      </c>
    </row>
    <row r="84" ht="21" customHeight="1">
      <c r="A84" s="37" t="n">
        <v>77</v>
      </c>
      <c r="B84" s="38" t="inlineStr">
        <is>
          <t>DPM</t>
        </is>
      </c>
      <c r="C84" s="39" t="inlineStr">
        <is>
          <t>Hóa Chất, Phân Bón &amp; Cao Su</t>
        </is>
      </c>
      <c r="D84" s="37" t="inlineStr">
        <is>
          <t>HOSE</t>
        </is>
      </c>
      <c r="E84" s="38" t="inlineStr">
        <is>
          <t>#17</t>
        </is>
      </c>
      <c r="F84" s="40" t="n">
        <v>56000000</v>
      </c>
      <c r="G84" s="40" t="n">
        <v>24342.38143068885</v>
      </c>
      <c r="H84" s="40" t="n">
        <v>25900</v>
      </c>
      <c r="I84" s="41" t="n">
        <v>2300.514440604396</v>
      </c>
      <c r="J84" s="42" t="n">
        <v>59583324.01165386</v>
      </c>
      <c r="K84" s="13" t="n">
        <v>3583324.011653855</v>
      </c>
      <c r="L84" s="14" t="n">
        <v>0.06398792877953313</v>
      </c>
      <c r="M84" s="15" t="inlineStr">
        <is>
          <t>LÃI</t>
        </is>
      </c>
    </row>
    <row r="85" ht="21" customHeight="1">
      <c r="A85" s="37" t="n">
        <v>78</v>
      </c>
      <c r="B85" s="38" t="inlineStr">
        <is>
          <t>DPR</t>
        </is>
      </c>
      <c r="C85" s="39" t="inlineStr">
        <is>
          <t>Hóa Chất, Phân Bón &amp; Cao Su</t>
        </is>
      </c>
      <c r="D85" s="37" t="inlineStr">
        <is>
          <t>HOSE</t>
        </is>
      </c>
      <c r="E85" s="38" t="inlineStr">
        <is>
          <t>#20</t>
        </is>
      </c>
      <c r="F85" s="40" t="n">
        <v>56000000</v>
      </c>
      <c r="G85" s="40" t="n">
        <v>39467.79461951478</v>
      </c>
      <c r="H85" s="40" t="n">
        <v>41600</v>
      </c>
      <c r="I85" s="41" t="n">
        <v>1418.878367536424</v>
      </c>
      <c r="J85" s="42" t="n">
        <v>59025340.08951525</v>
      </c>
      <c r="K85" s="13" t="n">
        <v>3025340.089515254</v>
      </c>
      <c r="L85" s="14" t="n">
        <v>0.05402393016991525</v>
      </c>
      <c r="M85" s="15" t="inlineStr">
        <is>
          <t>LÃI</t>
        </is>
      </c>
    </row>
    <row r="86" ht="21" customHeight="1">
      <c r="A86" s="37" t="n">
        <v>79</v>
      </c>
      <c r="B86" s="38" t="inlineStr">
        <is>
          <t>CSV</t>
        </is>
      </c>
      <c r="C86" s="39" t="inlineStr">
        <is>
          <t>Hóa Chất, Phân Bón &amp; Cao Su</t>
        </is>
      </c>
      <c r="D86" s="37" t="inlineStr">
        <is>
          <t>HOSE</t>
        </is>
      </c>
      <c r="E86" s="38" t="inlineStr">
        <is>
          <t>#86</t>
        </is>
      </c>
      <c r="F86" s="40" t="n">
        <v>56000000</v>
      </c>
      <c r="G86" s="40" t="n">
        <v>30761.83276503498</v>
      </c>
      <c r="H86" s="40" t="n">
        <v>24700</v>
      </c>
      <c r="I86" s="41" t="n">
        <v>1820.437697185963</v>
      </c>
      <c r="J86" s="42" t="n">
        <v>44964811.12049329</v>
      </c>
      <c r="K86" s="16" t="n">
        <v>-11035188.87950671</v>
      </c>
      <c r="L86" s="17" t="n">
        <v>-0.1970569442769055</v>
      </c>
      <c r="M86" s="18" t="inlineStr">
        <is>
          <t>LỖ</t>
        </is>
      </c>
    </row>
    <row r="87" ht="21" customHeight="1">
      <c r="A87" s="37" t="n">
        <v>80</v>
      </c>
      <c r="B87" s="38" t="inlineStr">
        <is>
          <t>DGC</t>
        </is>
      </c>
      <c r="C87" s="39" t="inlineStr">
        <is>
          <t>Hóa Chất, Phân Bón &amp; Cao Su</t>
        </is>
      </c>
      <c r="D87" s="37" t="inlineStr">
        <is>
          <t>HOSE</t>
        </is>
      </c>
      <c r="E87" s="38" t="inlineStr">
        <is>
          <t>#100</t>
        </is>
      </c>
      <c r="F87" s="40" t="n">
        <v>56000000</v>
      </c>
      <c r="G87" s="40" t="n">
        <v>76601.25748227672</v>
      </c>
      <c r="H87" s="40" t="n">
        <v>46500</v>
      </c>
      <c r="I87" s="41" t="n">
        <v>731.0584948681392</v>
      </c>
      <c r="J87" s="42" t="n">
        <v>33994220.01136847</v>
      </c>
      <c r="K87" s="16" t="n">
        <v>-22005779.98863153</v>
      </c>
      <c r="L87" s="17" t="n">
        <v>-0.3929603569398488</v>
      </c>
      <c r="M87" s="18" t="inlineStr">
        <is>
          <t>LỖ</t>
        </is>
      </c>
    </row>
    <row r="88" ht="21" customHeight="1">
      <c r="A88" s="43" t="n">
        <v>81</v>
      </c>
      <c r="B88" s="44" t="inlineStr">
        <is>
          <t>PNJ</t>
        </is>
      </c>
      <c r="C88" s="45" t="inlineStr">
        <is>
          <t>Bán Lẻ, Tiêu Dùng &amp; Thực Phẩm</t>
        </is>
      </c>
      <c r="D88" s="43" t="inlineStr">
        <is>
          <t>HOSE</t>
        </is>
      </c>
      <c r="E88" s="44" t="inlineStr">
        <is>
          <t>#19</t>
        </is>
      </c>
      <c r="F88" s="46" t="n">
        <v>56000000</v>
      </c>
      <c r="G88" s="46" t="n">
        <v>62427.3082518719</v>
      </c>
      <c r="H88" s="46" t="n">
        <v>65800</v>
      </c>
      <c r="I88" s="47" t="n">
        <v>897.0433223559791</v>
      </c>
      <c r="J88" s="48" t="n">
        <v>59025450.61102342</v>
      </c>
      <c r="K88" s="13" t="n">
        <v>3025450.611023419</v>
      </c>
      <c r="L88" s="14" t="n">
        <v>0.05402590376827534</v>
      </c>
      <c r="M88" s="15" t="inlineStr">
        <is>
          <t>LÃI</t>
        </is>
      </c>
    </row>
    <row r="89" ht="21" customHeight="1">
      <c r="A89" s="43" t="n">
        <v>82</v>
      </c>
      <c r="B89" s="44" t="inlineStr">
        <is>
          <t>VHC</t>
        </is>
      </c>
      <c r="C89" s="45" t="inlineStr">
        <is>
          <t>Bán Lẻ, Tiêu Dùng &amp; Thực Phẩm</t>
        </is>
      </c>
      <c r="D89" s="43" t="inlineStr">
        <is>
          <t>HOSE</t>
        </is>
      </c>
      <c r="E89" s="44" t="inlineStr">
        <is>
          <t>#29</t>
        </is>
      </c>
      <c r="F89" s="46" t="n">
        <v>56000000</v>
      </c>
      <c r="G89" s="46" t="n">
        <v>57856.44192025687</v>
      </c>
      <c r="H89" s="46" t="n">
        <v>58700</v>
      </c>
      <c r="I89" s="47" t="n">
        <v>967.9129607932754</v>
      </c>
      <c r="J89" s="48" t="n">
        <v>56816490.79856526</v>
      </c>
      <c r="K89" s="13" t="n">
        <v>816490.7985652611</v>
      </c>
      <c r="L89" s="14" t="n">
        <v>0.01458019283152252</v>
      </c>
      <c r="M89" s="15" t="inlineStr">
        <is>
          <t>LÃI</t>
        </is>
      </c>
    </row>
    <row r="90" ht="21" customHeight="1">
      <c r="A90" s="43" t="n">
        <v>83</v>
      </c>
      <c r="B90" s="44" t="inlineStr">
        <is>
          <t>BAF</t>
        </is>
      </c>
      <c r="C90" s="45" t="inlineStr">
        <is>
          <t>Bán Lẻ, Tiêu Dùng &amp; Thực Phẩm</t>
        </is>
      </c>
      <c r="D90" s="43" t="inlineStr">
        <is>
          <t>HOSE</t>
        </is>
      </c>
      <c r="E90" s="44" t="inlineStr">
        <is>
          <t>#34</t>
        </is>
      </c>
      <c r="F90" s="46" t="n">
        <v>56000000</v>
      </c>
      <c r="G90" s="46" t="n">
        <v>29025.05470902469</v>
      </c>
      <c r="H90" s="46" t="n">
        <v>28677.685546875</v>
      </c>
      <c r="I90" s="47" t="n">
        <v>1929.367595044982</v>
      </c>
      <c r="J90" s="48" t="n">
        <v>55329797.19503045</v>
      </c>
      <c r="K90" s="16" t="n">
        <v>-670202.8049695492</v>
      </c>
      <c r="L90" s="17" t="n">
        <v>-0.01196790723159909</v>
      </c>
      <c r="M90" s="18" t="inlineStr">
        <is>
          <t>LỖ</t>
        </is>
      </c>
    </row>
    <row r="91" ht="21" customHeight="1">
      <c r="A91" s="43" t="n">
        <v>84</v>
      </c>
      <c r="B91" s="44" t="inlineStr">
        <is>
          <t>PAN</t>
        </is>
      </c>
      <c r="C91" s="45" t="inlineStr">
        <is>
          <t>Bán Lẻ, Tiêu Dùng &amp; Thực Phẩm</t>
        </is>
      </c>
      <c r="D91" s="43" t="inlineStr">
        <is>
          <t>HOSE</t>
        </is>
      </c>
      <c r="E91" s="44" t="inlineStr">
        <is>
          <t>#41</t>
        </is>
      </c>
      <c r="F91" s="46" t="n">
        <v>56000000</v>
      </c>
      <c r="G91" s="46" t="n">
        <v>24888.6088986122</v>
      </c>
      <c r="H91" s="46" t="n">
        <v>24450</v>
      </c>
      <c r="I91" s="47" t="n">
        <v>2250.025311905744</v>
      </c>
      <c r="J91" s="48" t="n">
        <v>55013118.87609544</v>
      </c>
      <c r="K91" s="16" t="n">
        <v>-986881.1239045635</v>
      </c>
      <c r="L91" s="17" t="n">
        <v>-0.01762287721258149</v>
      </c>
      <c r="M91" s="18" t="inlineStr">
        <is>
          <t>LỖ</t>
        </is>
      </c>
    </row>
    <row r="92" ht="21" customHeight="1">
      <c r="A92" s="43" t="n">
        <v>85</v>
      </c>
      <c r="B92" s="44" t="inlineStr">
        <is>
          <t>HAG</t>
        </is>
      </c>
      <c r="C92" s="45" t="inlineStr">
        <is>
          <t>Bán Lẻ, Tiêu Dùng &amp; Thực Phẩm</t>
        </is>
      </c>
      <c r="D92" s="43" t="inlineStr">
        <is>
          <t>HOSE</t>
        </is>
      </c>
      <c r="E92" s="44" t="inlineStr">
        <is>
          <t>#42</t>
        </is>
      </c>
      <c r="F92" s="46" t="n">
        <v>56000000</v>
      </c>
      <c r="G92" s="46" t="n">
        <v>15622.63404488362</v>
      </c>
      <c r="H92" s="46" t="n">
        <v>15300</v>
      </c>
      <c r="I92" s="47" t="n">
        <v>3584.542775508454</v>
      </c>
      <c r="J92" s="48" t="n">
        <v>54843504.46527934</v>
      </c>
      <c r="K92" s="16" t="n">
        <v>-1156495.534720659</v>
      </c>
      <c r="L92" s="17" t="n">
        <v>-0.02065170597715463</v>
      </c>
      <c r="M92" s="18" t="inlineStr">
        <is>
          <t>LỖ</t>
        </is>
      </c>
    </row>
    <row r="93" ht="21" customHeight="1">
      <c r="A93" s="43" t="n">
        <v>86</v>
      </c>
      <c r="B93" s="44" t="inlineStr">
        <is>
          <t>DGW</t>
        </is>
      </c>
      <c r="C93" s="45" t="inlineStr">
        <is>
          <t>Bán Lẻ, Tiêu Dùng &amp; Thực Phẩm</t>
        </is>
      </c>
      <c r="D93" s="43" t="inlineStr">
        <is>
          <t>HOSE</t>
        </is>
      </c>
      <c r="E93" s="44" t="inlineStr">
        <is>
          <t>#45</t>
        </is>
      </c>
      <c r="F93" s="46" t="n">
        <v>56000000</v>
      </c>
      <c r="G93" s="46" t="n">
        <v>42393.91478438534</v>
      </c>
      <c r="H93" s="46" t="n">
        <v>40850</v>
      </c>
      <c r="I93" s="47" t="n">
        <v>1320.944297897822</v>
      </c>
      <c r="J93" s="48" t="n">
        <v>53960574.56912604</v>
      </c>
      <c r="K93" s="16" t="n">
        <v>-2039425.43087396</v>
      </c>
      <c r="L93" s="17" t="n">
        <v>-0.03641831126560643</v>
      </c>
      <c r="M93" s="18" t="inlineStr">
        <is>
          <t>LỖ</t>
        </is>
      </c>
    </row>
    <row r="94" ht="21" customHeight="1">
      <c r="A94" s="43" t="n">
        <v>87</v>
      </c>
      <c r="B94" s="44" t="inlineStr">
        <is>
          <t>KDC</t>
        </is>
      </c>
      <c r="C94" s="45" t="inlineStr">
        <is>
          <t>Bán Lẻ, Tiêu Dùng &amp; Thực Phẩm</t>
        </is>
      </c>
      <c r="D94" s="43" t="inlineStr">
        <is>
          <t>HOSE</t>
        </is>
      </c>
      <c r="E94" s="44" t="inlineStr">
        <is>
          <t>#46</t>
        </is>
      </c>
      <c r="F94" s="46" t="n">
        <v>56000000</v>
      </c>
      <c r="G94" s="46" t="n">
        <v>52004.11347596025</v>
      </c>
      <c r="H94" s="46" t="n">
        <v>50000</v>
      </c>
      <c r="I94" s="47" t="n">
        <v>1076.837893331013</v>
      </c>
      <c r="J94" s="48" t="n">
        <v>53841894.66655067</v>
      </c>
      <c r="K94" s="16" t="n">
        <v>-2158105.333449326</v>
      </c>
      <c r="L94" s="17" t="n">
        <v>-0.03853759524016655</v>
      </c>
      <c r="M94" s="18" t="inlineStr">
        <is>
          <t>LỖ</t>
        </is>
      </c>
    </row>
    <row r="95" ht="21" customHeight="1">
      <c r="A95" s="43" t="n">
        <v>88</v>
      </c>
      <c r="B95" s="44" t="inlineStr">
        <is>
          <t>ANV</t>
        </is>
      </c>
      <c r="C95" s="45" t="inlineStr">
        <is>
          <t>Bán Lẻ, Tiêu Dùng &amp; Thực Phẩm</t>
        </is>
      </c>
      <c r="D95" s="43" t="inlineStr">
        <is>
          <t>HOSE</t>
        </is>
      </c>
      <c r="E95" s="44" t="inlineStr">
        <is>
          <t>#60</t>
        </is>
      </c>
      <c r="F95" s="46" t="n">
        <v>56000000</v>
      </c>
      <c r="G95" s="46" t="n">
        <v>23854.9721149446</v>
      </c>
      <c r="H95" s="46" t="n">
        <v>21700</v>
      </c>
      <c r="I95" s="47" t="n">
        <v>2347.518988082039</v>
      </c>
      <c r="J95" s="48" t="n">
        <v>50941162.04138025</v>
      </c>
      <c r="K95" s="16" t="n">
        <v>-5058837.958619751</v>
      </c>
      <c r="L95" s="17" t="n">
        <v>-0.09033639211820985</v>
      </c>
      <c r="M95" s="18" t="inlineStr">
        <is>
          <t>LỖ</t>
        </is>
      </c>
    </row>
    <row r="96" ht="21" customHeight="1">
      <c r="A96" s="43" t="n">
        <v>89</v>
      </c>
      <c r="B96" s="44" t="inlineStr">
        <is>
          <t>FRT</t>
        </is>
      </c>
      <c r="C96" s="45" t="inlineStr">
        <is>
          <t>Bán Lẻ, Tiêu Dùng &amp; Thực Phẩm</t>
        </is>
      </c>
      <c r="D96" s="43" t="inlineStr">
        <is>
          <t>HOSE</t>
        </is>
      </c>
      <c r="E96" s="44" t="inlineStr">
        <is>
          <t>#67</t>
        </is>
      </c>
      <c r="F96" s="46" t="n">
        <v>56000000</v>
      </c>
      <c r="G96" s="46" t="n">
        <v>137391.5214506932</v>
      </c>
      <c r="H96" s="46" t="n">
        <v>124000</v>
      </c>
      <c r="I96" s="47" t="n">
        <v>407.5942926368799</v>
      </c>
      <c r="J96" s="48" t="n">
        <v>50541692.2869731</v>
      </c>
      <c r="K96" s="16" t="n">
        <v>-5458307.713026896</v>
      </c>
      <c r="L96" s="17" t="n">
        <v>-0.09746978058976601</v>
      </c>
      <c r="M96" s="18" t="inlineStr">
        <is>
          <t>LỖ</t>
        </is>
      </c>
    </row>
    <row r="97" ht="21" customHeight="1">
      <c r="A97" s="43" t="n">
        <v>90</v>
      </c>
      <c r="B97" s="44" t="inlineStr">
        <is>
          <t>ASM</t>
        </is>
      </c>
      <c r="C97" s="45" t="inlineStr">
        <is>
          <t>Bán Lẻ, Tiêu Dùng &amp; Thực Phẩm</t>
        </is>
      </c>
      <c r="D97" s="43" t="inlineStr">
        <is>
          <t>HOSE</t>
        </is>
      </c>
      <c r="E97" s="44" t="inlineStr">
        <is>
          <t>#68</t>
        </is>
      </c>
      <c r="F97" s="46" t="n">
        <v>56000000</v>
      </c>
      <c r="G97" s="46" t="n">
        <v>6584.283060010304</v>
      </c>
      <c r="H97" s="46" t="n">
        <v>5850</v>
      </c>
      <c r="I97" s="47" t="n">
        <v>8505.102148496082</v>
      </c>
      <c r="J97" s="48" t="n">
        <v>49754847.56870208</v>
      </c>
      <c r="K97" s="16" t="n">
        <v>-6245152.431297921</v>
      </c>
      <c r="L97" s="17" t="n">
        <v>-0.11152057913032</v>
      </c>
      <c r="M97" s="18" t="inlineStr">
        <is>
          <t>LỖ</t>
        </is>
      </c>
    </row>
    <row r="98" ht="21" customHeight="1">
      <c r="A98" s="43" t="n">
        <v>91</v>
      </c>
      <c r="B98" s="44" t="inlineStr">
        <is>
          <t>DBC</t>
        </is>
      </c>
      <c r="C98" s="45" t="inlineStr">
        <is>
          <t>Bán Lẻ, Tiêu Dùng &amp; Thực Phẩm</t>
        </is>
      </c>
      <c r="D98" s="43" t="inlineStr">
        <is>
          <t>HOSE</t>
        </is>
      </c>
      <c r="E98" s="44" t="inlineStr">
        <is>
          <t>#82</t>
        </is>
      </c>
      <c r="F98" s="46" t="n">
        <v>56000000</v>
      </c>
      <c r="G98" s="46" t="n">
        <v>23269.07376525491</v>
      </c>
      <c r="H98" s="46" t="n">
        <v>19196.427734375</v>
      </c>
      <c r="I98" s="47" t="n">
        <v>2406.627808435525</v>
      </c>
      <c r="J98" s="48" t="n">
        <v>46198656.80816984</v>
      </c>
      <c r="K98" s="16" t="n">
        <v>-9801343.191830158</v>
      </c>
      <c r="L98" s="17" t="n">
        <v>-0.1750239855683957</v>
      </c>
      <c r="M98" s="18" t="inlineStr">
        <is>
          <t>LỖ</t>
        </is>
      </c>
    </row>
    <row r="99" ht="21" customHeight="1">
      <c r="A99" s="43" t="n">
        <v>92</v>
      </c>
      <c r="B99" s="44" t="inlineStr">
        <is>
          <t>IDI</t>
        </is>
      </c>
      <c r="C99" s="45" t="inlineStr">
        <is>
          <t>Bán Lẻ, Tiêu Dùng &amp; Thực Phẩm</t>
        </is>
      </c>
      <c r="D99" s="43" t="inlineStr">
        <is>
          <t>HOSE</t>
        </is>
      </c>
      <c r="E99" s="44" t="inlineStr">
        <is>
          <t>#83</t>
        </is>
      </c>
      <c r="F99" s="46" t="n">
        <v>56000000</v>
      </c>
      <c r="G99" s="46" t="n">
        <v>6998.678945540742</v>
      </c>
      <c r="H99" s="46" t="n">
        <v>5710</v>
      </c>
      <c r="I99" s="47" t="n">
        <v>8001.510061506794</v>
      </c>
      <c r="J99" s="48" t="n">
        <v>45688622.45120379</v>
      </c>
      <c r="K99" s="16" t="n">
        <v>-10311377.54879621</v>
      </c>
      <c r="L99" s="17" t="n">
        <v>-0.1841317419427894</v>
      </c>
      <c r="M99" s="18" t="inlineStr">
        <is>
          <t>LỖ</t>
        </is>
      </c>
    </row>
    <row r="100" ht="21" customHeight="1">
      <c r="A100" s="43" t="n">
        <v>93</v>
      </c>
      <c r="B100" s="44" t="inlineStr">
        <is>
          <t>TCM</t>
        </is>
      </c>
      <c r="C100" s="45" t="inlineStr">
        <is>
          <t>Bán Lẻ, Tiêu Dùng &amp; Thực Phẩm</t>
        </is>
      </c>
      <c r="D100" s="43" t="inlineStr">
        <is>
          <t>HOSE</t>
        </is>
      </c>
      <c r="E100" s="44" t="inlineStr">
        <is>
          <t>#87</t>
        </is>
      </c>
      <c r="F100" s="46" t="n">
        <v>56000000</v>
      </c>
      <c r="G100" s="46" t="n">
        <v>26020.79305750044</v>
      </c>
      <c r="H100" s="46" t="n">
        <v>20850</v>
      </c>
      <c r="I100" s="47" t="n">
        <v>2152.125028482101</v>
      </c>
      <c r="J100" s="48" t="n">
        <v>44871806.84385181</v>
      </c>
      <c r="K100" s="16" t="n">
        <v>-11128193.15614819</v>
      </c>
      <c r="L100" s="17" t="n">
        <v>-0.1987177349312176</v>
      </c>
      <c r="M100" s="18" t="inlineStr">
        <is>
          <t>LỖ</t>
        </is>
      </c>
    </row>
    <row r="101" ht="21" customHeight="1">
      <c r="A101" s="49" t="n">
        <v>94</v>
      </c>
      <c r="B101" s="50" t="inlineStr">
        <is>
          <t>NT2</t>
        </is>
      </c>
      <c r="C101" s="51" t="inlineStr">
        <is>
          <t>Công Nghệ, Năng Lượng &amp; Tiện Ích</t>
        </is>
      </c>
      <c r="D101" s="49" t="inlineStr">
        <is>
          <t>HOSE</t>
        </is>
      </c>
      <c r="E101" s="50" t="inlineStr">
        <is>
          <t>#31</t>
        </is>
      </c>
      <c r="F101" s="52" t="n">
        <v>56000000</v>
      </c>
      <c r="G101" s="52" t="n">
        <v>22795.23841003431</v>
      </c>
      <c r="H101" s="52" t="n">
        <v>23000</v>
      </c>
      <c r="I101" s="53" t="n">
        <v>2456.653402464489</v>
      </c>
      <c r="J101" s="54" t="n">
        <v>56503028.25668325</v>
      </c>
      <c r="K101" s="13" t="n">
        <v>503028.2566832528</v>
      </c>
      <c r="L101" s="14" t="n">
        <v>0.00898264744077237</v>
      </c>
      <c r="M101" s="15" t="inlineStr">
        <is>
          <t>LÃI</t>
        </is>
      </c>
    </row>
    <row r="102" ht="21" customHeight="1">
      <c r="A102" s="49" t="n">
        <v>95</v>
      </c>
      <c r="B102" s="50" t="inlineStr">
        <is>
          <t>CTR</t>
        </is>
      </c>
      <c r="C102" s="51" t="inlineStr">
        <is>
          <t>Công Nghệ, Năng Lượng &amp; Tiện Ích</t>
        </is>
      </c>
      <c r="D102" s="49" t="inlineStr">
        <is>
          <t>HOSE</t>
        </is>
      </c>
      <c r="E102" s="50" t="inlineStr">
        <is>
          <t>#38</t>
        </is>
      </c>
      <c r="F102" s="52" t="n">
        <v>56000000</v>
      </c>
      <c r="G102" s="52" t="n">
        <v>80333.87069672333</v>
      </c>
      <c r="H102" s="52" t="n">
        <v>79017.859375</v>
      </c>
      <c r="I102" s="53" t="n">
        <v>697.0907727253847</v>
      </c>
      <c r="J102" s="54" t="n">
        <v>55082620.65082453</v>
      </c>
      <c r="K102" s="16" t="n">
        <v>-917379.3491754681</v>
      </c>
      <c r="L102" s="17" t="n">
        <v>-0.01638177409241907</v>
      </c>
      <c r="M102" s="18" t="inlineStr">
        <is>
          <t>LỖ</t>
        </is>
      </c>
    </row>
    <row r="103" ht="21" customHeight="1">
      <c r="A103" s="49" t="n">
        <v>96</v>
      </c>
      <c r="B103" s="50" t="inlineStr">
        <is>
          <t>REE</t>
        </is>
      </c>
      <c r="C103" s="51" t="inlineStr">
        <is>
          <t>Công Nghệ, Năng Lượng &amp; Tiện Ích</t>
        </is>
      </c>
      <c r="D103" s="49" t="inlineStr">
        <is>
          <t>HOSE</t>
        </is>
      </c>
      <c r="E103" s="50" t="inlineStr">
        <is>
          <t>#51</t>
        </is>
      </c>
      <c r="F103" s="52" t="n">
        <v>56000000</v>
      </c>
      <c r="G103" s="52" t="n">
        <v>55854.65072086262</v>
      </c>
      <c r="H103" s="52" t="n">
        <v>52700</v>
      </c>
      <c r="I103" s="53" t="n">
        <v>1002.602277111422</v>
      </c>
      <c r="J103" s="54" t="n">
        <v>52837140.00377195</v>
      </c>
      <c r="K103" s="16" t="n">
        <v>-3162859.996228054</v>
      </c>
      <c r="L103" s="17" t="n">
        <v>-0.05647964278978668</v>
      </c>
      <c r="M103" s="18" t="inlineStr">
        <is>
          <t>LỖ</t>
        </is>
      </c>
    </row>
    <row r="104" ht="21" customHeight="1">
      <c r="A104" s="49" t="n">
        <v>97</v>
      </c>
      <c r="B104" s="50" t="inlineStr">
        <is>
          <t>GEG</t>
        </is>
      </c>
      <c r="C104" s="51" t="inlineStr">
        <is>
          <t>Công Nghệ, Năng Lượng &amp; Tiện Ích</t>
        </is>
      </c>
      <c r="D104" s="49" t="inlineStr">
        <is>
          <t>HOSE</t>
        </is>
      </c>
      <c r="E104" s="50" t="inlineStr">
        <is>
          <t>#58</t>
        </is>
      </c>
      <c r="F104" s="52" t="n">
        <v>56000000</v>
      </c>
      <c r="G104" s="52" t="n">
        <v>14694.34590225369</v>
      </c>
      <c r="H104" s="52" t="n">
        <v>13380.9521484375</v>
      </c>
      <c r="I104" s="53" t="n">
        <v>3810.989639995558</v>
      </c>
      <c r="J104" s="54" t="n">
        <v>50994670.01097161</v>
      </c>
      <c r="K104" s="16" t="n">
        <v>-5005329.989028387</v>
      </c>
      <c r="L104" s="17" t="n">
        <v>-0.08938089266122119</v>
      </c>
      <c r="M104" s="18" t="inlineStr">
        <is>
          <t>LỖ</t>
        </is>
      </c>
    </row>
    <row r="105" ht="21" customHeight="1">
      <c r="A105" s="49" t="n">
        <v>98</v>
      </c>
      <c r="B105" s="50" t="inlineStr">
        <is>
          <t>CMG</t>
        </is>
      </c>
      <c r="C105" s="51" t="inlineStr">
        <is>
          <t>Công Nghệ, Năng Lượng &amp; Tiện Ích</t>
        </is>
      </c>
      <c r="D105" s="49" t="inlineStr">
        <is>
          <t>HOSE</t>
        </is>
      </c>
      <c r="E105" s="50" t="inlineStr">
        <is>
          <t>#84</t>
        </is>
      </c>
      <c r="F105" s="52" t="n">
        <v>56000000</v>
      </c>
      <c r="G105" s="52" t="n">
        <v>33177.45556386382</v>
      </c>
      <c r="H105" s="52" t="n">
        <v>27000</v>
      </c>
      <c r="I105" s="53" t="n">
        <v>1687.89315058247</v>
      </c>
      <c r="J105" s="54" t="n">
        <v>45573115.06572668</v>
      </c>
      <c r="K105" s="16" t="n">
        <v>-10426884.93427332</v>
      </c>
      <c r="L105" s="17" t="n">
        <v>-0.1861943738263092</v>
      </c>
      <c r="M105" s="18" t="inlineStr">
        <is>
          <t>LỖ</t>
        </is>
      </c>
    </row>
    <row r="106" ht="21" customHeight="1">
      <c r="A106" s="49" t="n">
        <v>99</v>
      </c>
      <c r="B106" s="50" t="inlineStr">
        <is>
          <t>ELC</t>
        </is>
      </c>
      <c r="C106" s="51" t="inlineStr">
        <is>
          <t>Công Nghệ, Năng Lượng &amp; Tiện Ích</t>
        </is>
      </c>
      <c r="D106" s="49" t="inlineStr">
        <is>
          <t>HOSE</t>
        </is>
      </c>
      <c r="E106" s="50" t="inlineStr">
        <is>
          <t>#95</t>
        </is>
      </c>
      <c r="F106" s="52" t="n">
        <v>56000000</v>
      </c>
      <c r="G106" s="52" t="n">
        <v>19462.70572961914</v>
      </c>
      <c r="H106" s="52" t="n">
        <v>14953.271484375</v>
      </c>
      <c r="I106" s="53" t="n">
        <v>2877.297780584378</v>
      </c>
      <c r="J106" s="54" t="n">
        <v>43025014.85446785</v>
      </c>
      <c r="K106" s="16" t="n">
        <v>-12974985.14553215</v>
      </c>
      <c r="L106" s="17" t="n">
        <v>-0.2316961633130742</v>
      </c>
      <c r="M106" s="18" t="inlineStr">
        <is>
          <t>LỖ</t>
        </is>
      </c>
    </row>
    <row r="107" ht="21" customHeight="1">
      <c r="A107" s="55" t="n">
        <v>100</v>
      </c>
      <c r="B107" s="56" t="inlineStr">
        <is>
          <t>PVD</t>
        </is>
      </c>
      <c r="C107" s="57" t="inlineStr">
        <is>
          <t>Dầu Khí, Cảng Biển &amp; Logistics</t>
        </is>
      </c>
      <c r="D107" s="55" t="inlineStr">
        <is>
          <t>HOSE</t>
        </is>
      </c>
      <c r="E107" s="56" t="inlineStr">
        <is>
          <t>#7</t>
        </is>
      </c>
      <c r="F107" s="58" t="n">
        <v>56000000</v>
      </c>
      <c r="G107" s="58" t="n">
        <v>15003.69732033961</v>
      </c>
      <c r="H107" s="58" t="n">
        <v>18274.416015625</v>
      </c>
      <c r="I107" s="59" t="n">
        <v>3732.413338149934</v>
      </c>
      <c r="J107" s="60" t="n">
        <v>68207674.08361952</v>
      </c>
      <c r="K107" s="13" t="n">
        <v>12207674.08361952</v>
      </c>
      <c r="L107" s="14" t="n">
        <v>0.2179941800646343</v>
      </c>
      <c r="M107" s="15" t="inlineStr">
        <is>
          <t>LÃI</t>
        </is>
      </c>
    </row>
    <row r="108" ht="25" customHeight="1">
      <c r="A108" s="61" t="inlineStr"/>
      <c r="B108" s="62" t="inlineStr">
        <is>
          <t>TỔNG CỘNG</t>
        </is>
      </c>
      <c r="C108" s="62" t="inlineStr">
        <is>
          <t>8 Nhóm Ngành</t>
        </is>
      </c>
      <c r="D108" s="63" t="inlineStr">
        <is>
          <t>100 Mã</t>
        </is>
      </c>
      <c r="E108" s="63" t="inlineStr">
        <is>
          <t>-</t>
        </is>
      </c>
      <c r="F108" s="64">
        <f>SUM(F8:F107)</f>
        <v/>
      </c>
      <c r="G108" s="63" t="inlineStr">
        <is>
          <t>-</t>
        </is>
      </c>
      <c r="H108" s="63" t="inlineStr">
        <is>
          <t>-</t>
        </is>
      </c>
      <c r="I108" s="63" t="inlineStr">
        <is>
          <t>-</t>
        </is>
      </c>
      <c r="J108" s="64">
        <f>SUM(J8:J107)</f>
        <v/>
      </c>
      <c r="K108" s="65">
        <f>SUM(K8:K107)</f>
        <v/>
      </c>
      <c r="L108" s="66">
        <f>K108/F108</f>
        <v/>
      </c>
      <c r="M108" s="62" t="inlineStr">
        <is>
          <t>DANH MỤC</t>
        </is>
      </c>
    </row>
  </sheetData>
  <mergeCells count="14">
    <mergeCell ref="A4:B4"/>
    <mergeCell ref="G4:H4"/>
    <mergeCell ref="E4:F4"/>
    <mergeCell ref="I4:J4"/>
    <mergeCell ref="A1:M1"/>
    <mergeCell ref="K4:M4"/>
    <mergeCell ref="K5:M5"/>
    <mergeCell ref="C5:D5"/>
    <mergeCell ref="A5:B5"/>
    <mergeCell ref="G5:H5"/>
    <mergeCell ref="E5:F5"/>
    <mergeCell ref="I5:J5"/>
    <mergeCell ref="A2:M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6" customWidth="1" min="61" max="61"/>
    <col width="16" customWidth="1" min="62" max="62"/>
    <col width="16" customWidth="1" min="63" max="63"/>
  </cols>
  <sheetData>
    <row r="1" ht="28" customHeight="1">
      <c r="A1" s="6" t="inlineStr">
        <is>
          <t>STT</t>
        </is>
      </c>
      <c r="B1" s="6" t="inlineStr">
        <is>
          <t>Mã Cổ Phiếu</t>
        </is>
      </c>
      <c r="C1" s="6" t="inlineStr">
        <is>
          <t>Nhóm Ngành</t>
        </is>
      </c>
      <c r="D1" s="6" t="inlineStr">
        <is>
          <t>Sàn GD</t>
        </is>
      </c>
      <c r="E1" s="67" t="inlineStr">
        <is>
          <t>W01 (05/05)</t>
        </is>
      </c>
      <c r="F1" s="67" t="inlineStr">
        <is>
          <t>W02 (12/05)</t>
        </is>
      </c>
      <c r="G1" s="67" t="inlineStr">
        <is>
          <t>W03 (19/05)</t>
        </is>
      </c>
      <c r="H1" s="67" t="inlineStr">
        <is>
          <t>W04 (26/05)</t>
        </is>
      </c>
      <c r="I1" s="67" t="inlineStr">
        <is>
          <t>W05 (02/06)</t>
        </is>
      </c>
      <c r="J1" s="67" t="inlineStr">
        <is>
          <t>W06 (09/06)</t>
        </is>
      </c>
      <c r="K1" s="67" t="inlineStr">
        <is>
          <t>W07 (16/06)</t>
        </is>
      </c>
      <c r="L1" s="67" t="inlineStr">
        <is>
          <t>W08 (23/06)</t>
        </is>
      </c>
      <c r="M1" s="67" t="inlineStr">
        <is>
          <t>W09 (30/06)</t>
        </is>
      </c>
      <c r="N1" s="67" t="inlineStr">
        <is>
          <t>W10 (07/07)</t>
        </is>
      </c>
      <c r="O1" s="67" t="inlineStr">
        <is>
          <t>W11 (14/07)</t>
        </is>
      </c>
      <c r="P1" s="67" t="inlineStr">
        <is>
          <t>W12 (21/07)</t>
        </is>
      </c>
      <c r="Q1" s="67" t="inlineStr">
        <is>
          <t>W13 (28/07)</t>
        </is>
      </c>
      <c r="R1" s="67" t="inlineStr">
        <is>
          <t>W14 (04/08)</t>
        </is>
      </c>
      <c r="S1" s="67" t="inlineStr">
        <is>
          <t>W15 (11/08)</t>
        </is>
      </c>
      <c r="T1" s="67" t="inlineStr">
        <is>
          <t>W16 (18/08)</t>
        </is>
      </c>
      <c r="U1" s="67" t="inlineStr">
        <is>
          <t>W17 (25/08)</t>
        </is>
      </c>
      <c r="V1" s="67" t="inlineStr">
        <is>
          <t>W18 (01/09)</t>
        </is>
      </c>
      <c r="W1" s="67" t="inlineStr">
        <is>
          <t>W19 (08/09)</t>
        </is>
      </c>
      <c r="X1" s="67" t="inlineStr">
        <is>
          <t>W20 (15/09)</t>
        </is>
      </c>
      <c r="Y1" s="67" t="inlineStr">
        <is>
          <t>W21 (22/09)</t>
        </is>
      </c>
      <c r="Z1" s="67" t="inlineStr">
        <is>
          <t>W22 (29/09)</t>
        </is>
      </c>
      <c r="AA1" s="67" t="inlineStr">
        <is>
          <t>W23 (06/10)</t>
        </is>
      </c>
      <c r="AB1" s="67" t="inlineStr">
        <is>
          <t>W24 (13/10)</t>
        </is>
      </c>
      <c r="AC1" s="67" t="inlineStr">
        <is>
          <t>W25 (20/10)</t>
        </is>
      </c>
      <c r="AD1" s="67" t="inlineStr">
        <is>
          <t>W26 (27/10)</t>
        </is>
      </c>
      <c r="AE1" s="67" t="inlineStr">
        <is>
          <t>W27 (03/11)</t>
        </is>
      </c>
      <c r="AF1" s="67" t="inlineStr">
        <is>
          <t>W28 (10/11)</t>
        </is>
      </c>
      <c r="AG1" s="67" t="inlineStr">
        <is>
          <t>W29 (17/11)</t>
        </is>
      </c>
      <c r="AH1" s="67" t="inlineStr">
        <is>
          <t>W30 (24/11)</t>
        </is>
      </c>
      <c r="AI1" s="67" t="inlineStr">
        <is>
          <t>W31 (01/12)</t>
        </is>
      </c>
      <c r="AJ1" s="67" t="inlineStr">
        <is>
          <t>W32 (08/12)</t>
        </is>
      </c>
      <c r="AK1" s="67" t="inlineStr">
        <is>
          <t>W33 (15/12)</t>
        </is>
      </c>
      <c r="AL1" s="67" t="inlineStr">
        <is>
          <t>W34 (22/12)</t>
        </is>
      </c>
      <c r="AM1" s="67" t="inlineStr">
        <is>
          <t>W35 (29/12)</t>
        </is>
      </c>
      <c r="AN1" s="67" t="inlineStr">
        <is>
          <t>W36 (05/01)</t>
        </is>
      </c>
      <c r="AO1" s="67" t="inlineStr">
        <is>
          <t>W37 (12/01)</t>
        </is>
      </c>
      <c r="AP1" s="67" t="inlineStr">
        <is>
          <t>W38 (19/01)</t>
        </is>
      </c>
      <c r="AQ1" s="67" t="inlineStr">
        <is>
          <t>W39 (26/01)</t>
        </is>
      </c>
      <c r="AR1" s="67" t="inlineStr">
        <is>
          <t>W40 (02/02)</t>
        </is>
      </c>
      <c r="AS1" s="67" t="inlineStr">
        <is>
          <t>W41 (09/02)</t>
        </is>
      </c>
      <c r="AT1" s="67" t="inlineStr">
        <is>
          <t>W42 (16/02)</t>
        </is>
      </c>
      <c r="AU1" s="67" t="inlineStr">
        <is>
          <t>W43 (23/02)</t>
        </is>
      </c>
      <c r="AV1" s="67" t="inlineStr">
        <is>
          <t>W44 (02/03)</t>
        </is>
      </c>
      <c r="AW1" s="67" t="inlineStr">
        <is>
          <t>W45 (09/03)</t>
        </is>
      </c>
      <c r="AX1" s="67" t="inlineStr">
        <is>
          <t>W46 (16/03)</t>
        </is>
      </c>
      <c r="AY1" s="67" t="inlineStr">
        <is>
          <t>W47 (23/03)</t>
        </is>
      </c>
      <c r="AZ1" s="67" t="inlineStr">
        <is>
          <t>W48 (30/03)</t>
        </is>
      </c>
      <c r="BA1" s="67" t="inlineStr">
        <is>
          <t>W49 (06/04)</t>
        </is>
      </c>
      <c r="BB1" s="67" t="inlineStr">
        <is>
          <t>W50 (13/04)</t>
        </is>
      </c>
      <c r="BC1" s="67" t="inlineStr">
        <is>
          <t>W51 (20/04)</t>
        </is>
      </c>
      <c r="BD1" s="67" t="inlineStr">
        <is>
          <t>W52 (27/04)</t>
        </is>
      </c>
      <c r="BE1" s="67" t="inlineStr">
        <is>
          <t>W53 (04/05)</t>
        </is>
      </c>
      <c r="BF1" s="67" t="inlineStr">
        <is>
          <t>W54 (11/05)</t>
        </is>
      </c>
      <c r="BG1" s="67" t="inlineStr">
        <is>
          <t>W55 (18/05)</t>
        </is>
      </c>
      <c r="BH1" s="67" t="inlineStr">
        <is>
          <t>W56 (25/05)</t>
        </is>
      </c>
      <c r="BI1" s="6" t="inlineStr">
        <is>
          <t>Giá Thấp Nhất</t>
        </is>
      </c>
      <c r="BJ1" s="6" t="inlineStr">
        <is>
          <t>Giá Cao Nhất</t>
        </is>
      </c>
      <c r="BK1" s="6" t="inlineStr">
        <is>
          <t>Giá TB (VNĐ)</t>
        </is>
      </c>
    </row>
    <row r="2" ht="19" customHeight="1">
      <c r="A2" s="68" t="n">
        <v>1</v>
      </c>
      <c r="B2" s="8" t="inlineStr">
        <is>
          <t>VIC</t>
        </is>
      </c>
      <c r="C2" s="9" t="inlineStr">
        <is>
          <t>VN30 Index (Nhóm Trụ Cột)</t>
        </is>
      </c>
      <c r="D2" s="68" t="inlineStr">
        <is>
          <t>HOSE</t>
        </is>
      </c>
      <c r="E2" s="10" t="n">
        <v>39250</v>
      </c>
      <c r="F2" s="10" t="n">
        <v>39900</v>
      </c>
      <c r="G2" s="10" t="n">
        <v>46250</v>
      </c>
      <c r="H2" s="10" t="n">
        <v>48500</v>
      </c>
      <c r="I2" s="10" t="n">
        <v>49000</v>
      </c>
      <c r="J2" s="10" t="n">
        <v>43400</v>
      </c>
      <c r="K2" s="10" t="n">
        <v>44700</v>
      </c>
      <c r="L2" s="10" t="n">
        <v>47500</v>
      </c>
      <c r="M2" s="10" t="n">
        <v>47250</v>
      </c>
      <c r="N2" s="10" t="n">
        <v>50800</v>
      </c>
      <c r="O2" s="10" t="n">
        <v>61000</v>
      </c>
      <c r="P2" s="10" t="n">
        <v>58000</v>
      </c>
      <c r="Q2" s="10" t="n">
        <v>52750</v>
      </c>
      <c r="R2" s="10" t="n">
        <v>57500</v>
      </c>
      <c r="S2" s="10" t="n">
        <v>59100</v>
      </c>
      <c r="T2" s="10" t="n">
        <v>62500</v>
      </c>
      <c r="U2" s="10" t="n">
        <v>65050</v>
      </c>
      <c r="V2" s="10" t="n">
        <v>62500</v>
      </c>
      <c r="W2" s="10" t="n">
        <v>68000</v>
      </c>
      <c r="X2" s="10" t="n">
        <v>72500</v>
      </c>
      <c r="Y2" s="10" t="n">
        <v>79000</v>
      </c>
      <c r="Z2" s="10" t="n">
        <v>85500</v>
      </c>
      <c r="AA2" s="10" t="n">
        <v>89750</v>
      </c>
      <c r="AB2" s="10" t="n">
        <v>106550</v>
      </c>
      <c r="AC2" s="10" t="n">
        <v>107500</v>
      </c>
      <c r="AD2" s="10" t="n">
        <v>102050</v>
      </c>
      <c r="AE2" s="10" t="n">
        <v>99850</v>
      </c>
      <c r="AF2" s="10" t="n">
        <v>105500</v>
      </c>
      <c r="AG2" s="10" t="n">
        <v>114850</v>
      </c>
      <c r="AH2" s="10" t="n">
        <v>130200</v>
      </c>
      <c r="AI2" s="10" t="n">
        <v>142800</v>
      </c>
      <c r="AJ2" s="10" t="n">
        <v>144000</v>
      </c>
      <c r="AK2" s="10" t="n">
        <v>148500</v>
      </c>
      <c r="AL2" s="10" t="n">
        <v>155000</v>
      </c>
      <c r="AM2" s="10" t="n">
        <v>169600</v>
      </c>
      <c r="AN2" s="10" t="n">
        <v>176000</v>
      </c>
      <c r="AO2" s="10" t="n">
        <v>159900</v>
      </c>
      <c r="AP2" s="10" t="n">
        <v>165400</v>
      </c>
      <c r="AQ2" s="10" t="n">
        <v>140500</v>
      </c>
      <c r="AR2" s="10" t="n">
        <v>131000</v>
      </c>
      <c r="AS2" s="10" t="n">
        <v>160000</v>
      </c>
      <c r="AT2" s="10" t="n">
        <v>160000</v>
      </c>
      <c r="AU2" s="10" t="n">
        <v>172000</v>
      </c>
      <c r="AV2" s="10" t="n">
        <v>156500</v>
      </c>
      <c r="AW2" s="10" t="n">
        <v>144600</v>
      </c>
      <c r="AX2" s="10" t="n">
        <v>135000</v>
      </c>
      <c r="AY2" s="10" t="n">
        <v>132600</v>
      </c>
      <c r="AZ2" s="10" t="n">
        <v>141000</v>
      </c>
      <c r="BA2" s="10" t="n">
        <v>151700</v>
      </c>
      <c r="BB2" s="10" t="n">
        <v>187900</v>
      </c>
      <c r="BC2" s="10" t="n">
        <v>212100</v>
      </c>
      <c r="BD2" s="10" t="n">
        <v>214000</v>
      </c>
      <c r="BE2" s="10" t="n">
        <v>226000</v>
      </c>
      <c r="BF2" s="10" t="n">
        <v>228000</v>
      </c>
      <c r="BG2" s="10" t="n">
        <v>216500</v>
      </c>
      <c r="BH2" s="10" t="n">
        <v>211300</v>
      </c>
      <c r="BI2" s="12">
        <f>MIN(E2:BH2)</f>
        <v/>
      </c>
      <c r="BJ2" s="12">
        <f>MAX(E2:BH2)</f>
        <v/>
      </c>
      <c r="BK2" s="12">
        <f>AVERAGE(E2:BH2)</f>
        <v/>
      </c>
    </row>
    <row r="3" ht="19" customHeight="1">
      <c r="A3" s="68" t="n">
        <v>2</v>
      </c>
      <c r="B3" s="8" t="inlineStr">
        <is>
          <t>VHM</t>
        </is>
      </c>
      <c r="C3" s="9" t="inlineStr">
        <is>
          <t>VN30 Index (Nhóm Trụ Cột)</t>
        </is>
      </c>
      <c r="D3" s="68" t="inlineStr">
        <is>
          <t>HOSE</t>
        </is>
      </c>
      <c r="E3" s="10" t="n">
        <v>31100</v>
      </c>
      <c r="F3" s="10" t="n">
        <v>29000</v>
      </c>
      <c r="G3" s="10" t="n">
        <v>34050</v>
      </c>
      <c r="H3" s="10" t="n">
        <v>38450</v>
      </c>
      <c r="I3" s="10" t="n">
        <v>38400</v>
      </c>
      <c r="J3" s="10" t="n">
        <v>35000</v>
      </c>
      <c r="K3" s="10" t="n">
        <v>35850</v>
      </c>
      <c r="L3" s="10" t="n">
        <v>38000</v>
      </c>
      <c r="M3" s="10" t="n">
        <v>38150</v>
      </c>
      <c r="N3" s="10" t="n">
        <v>43000</v>
      </c>
      <c r="O3" s="10" t="n">
        <v>47050</v>
      </c>
      <c r="P3" s="10" t="n">
        <v>46000</v>
      </c>
      <c r="Q3" s="10" t="n">
        <v>45000</v>
      </c>
      <c r="R3" s="10" t="n">
        <v>47500</v>
      </c>
      <c r="S3" s="10" t="n">
        <v>46950</v>
      </c>
      <c r="T3" s="10" t="n">
        <v>49900</v>
      </c>
      <c r="U3" s="10" t="n">
        <v>52300</v>
      </c>
      <c r="V3" s="10" t="n">
        <v>51150</v>
      </c>
      <c r="W3" s="10" t="n">
        <v>52950</v>
      </c>
      <c r="X3" s="10" t="n">
        <v>51750</v>
      </c>
      <c r="Y3" s="10" t="n">
        <v>49750</v>
      </c>
      <c r="Z3" s="10" t="n">
        <v>49300</v>
      </c>
      <c r="AA3" s="10" t="n">
        <v>57500</v>
      </c>
      <c r="AB3" s="10" t="n">
        <v>61000</v>
      </c>
      <c r="AC3" s="10" t="n">
        <v>57500</v>
      </c>
      <c r="AD3" s="10" t="n">
        <v>52000</v>
      </c>
      <c r="AE3" s="10" t="n">
        <v>46000</v>
      </c>
      <c r="AF3" s="10" t="n">
        <v>46950</v>
      </c>
      <c r="AG3" s="10" t="n">
        <v>49650</v>
      </c>
      <c r="AH3" s="10" t="n">
        <v>51450</v>
      </c>
      <c r="AI3" s="10" t="n">
        <v>53500</v>
      </c>
      <c r="AJ3" s="10" t="n">
        <v>47050</v>
      </c>
      <c r="AK3" s="10" t="n">
        <v>50750</v>
      </c>
      <c r="AL3" s="10" t="n">
        <v>55000</v>
      </c>
      <c r="AM3" s="10" t="n">
        <v>62000</v>
      </c>
      <c r="AN3" s="10" t="n">
        <v>70000</v>
      </c>
      <c r="AO3" s="10" t="n">
        <v>62050</v>
      </c>
      <c r="AP3" s="10" t="n">
        <v>61250</v>
      </c>
      <c r="AQ3" s="10" t="n">
        <v>53000</v>
      </c>
      <c r="AR3" s="10" t="n">
        <v>48750</v>
      </c>
      <c r="AS3" s="10" t="n">
        <v>54500</v>
      </c>
      <c r="AT3" s="10" t="n">
        <v>54500</v>
      </c>
      <c r="AU3" s="10" t="n">
        <v>54000</v>
      </c>
      <c r="AV3" s="10" t="n">
        <v>47500</v>
      </c>
      <c r="AW3" s="10" t="n">
        <v>49000</v>
      </c>
      <c r="AX3" s="10" t="n">
        <v>50000</v>
      </c>
      <c r="AY3" s="10" t="n">
        <v>51500</v>
      </c>
      <c r="AZ3" s="10" t="n">
        <v>59600</v>
      </c>
      <c r="BA3" s="10" t="n">
        <v>60550</v>
      </c>
      <c r="BB3" s="10" t="n">
        <v>67850</v>
      </c>
      <c r="BC3" s="10" t="n">
        <v>70600</v>
      </c>
      <c r="BD3" s="10" t="n">
        <v>73000</v>
      </c>
      <c r="BE3" s="10" t="n">
        <v>82000</v>
      </c>
      <c r="BF3" s="10" t="n">
        <v>79000</v>
      </c>
      <c r="BG3" s="10" t="n">
        <v>76900</v>
      </c>
      <c r="BH3" s="10" t="n">
        <v>78000</v>
      </c>
      <c r="BI3" s="12">
        <f>MIN(E3:BH3)</f>
        <v/>
      </c>
      <c r="BJ3" s="12">
        <f>MAX(E3:BH3)</f>
        <v/>
      </c>
      <c r="BK3" s="12">
        <f>AVERAGE(E3:BH3)</f>
        <v/>
      </c>
    </row>
    <row r="4" ht="19" customHeight="1">
      <c r="A4" s="68" t="n">
        <v>3</v>
      </c>
      <c r="B4" s="8" t="inlineStr">
        <is>
          <t>LPB</t>
        </is>
      </c>
      <c r="C4" s="9" t="inlineStr">
        <is>
          <t>VN30 Index (Nhóm Trụ Cột)</t>
        </is>
      </c>
      <c r="D4" s="68" t="inlineStr">
        <is>
          <t>HOSE</t>
        </is>
      </c>
      <c r="E4" s="10" t="n">
        <v>33050</v>
      </c>
      <c r="F4" s="10" t="n">
        <v>37050</v>
      </c>
      <c r="G4" s="10" t="n">
        <v>31900</v>
      </c>
      <c r="H4" s="10" t="n">
        <v>32000</v>
      </c>
      <c r="I4" s="10" t="n">
        <v>31800</v>
      </c>
      <c r="J4" s="10" t="n">
        <v>31650</v>
      </c>
      <c r="K4" s="10" t="n">
        <v>32400</v>
      </c>
      <c r="L4" s="10" t="n">
        <v>31800</v>
      </c>
      <c r="M4" s="10" t="n">
        <v>32500</v>
      </c>
      <c r="N4" s="10" t="n">
        <v>33300</v>
      </c>
      <c r="O4" s="10" t="n">
        <v>33650</v>
      </c>
      <c r="P4" s="10" t="n">
        <v>35500</v>
      </c>
      <c r="Q4" s="10" t="n">
        <v>34200</v>
      </c>
      <c r="R4" s="10" t="n">
        <v>35800</v>
      </c>
      <c r="S4" s="10" t="n">
        <v>40200</v>
      </c>
      <c r="T4" s="10" t="n">
        <v>48400</v>
      </c>
      <c r="U4" s="10" t="n">
        <v>44850</v>
      </c>
      <c r="V4" s="10" t="n">
        <v>45650</v>
      </c>
      <c r="W4" s="10" t="n">
        <v>44000</v>
      </c>
      <c r="X4" s="10" t="n">
        <v>45400</v>
      </c>
      <c r="Y4" s="10" t="n">
        <v>47950</v>
      </c>
      <c r="Z4" s="10" t="n">
        <v>51600</v>
      </c>
      <c r="AA4" s="10" t="n">
        <v>51200</v>
      </c>
      <c r="AB4" s="10" t="n">
        <v>51300</v>
      </c>
      <c r="AC4" s="10" t="n">
        <v>51300</v>
      </c>
      <c r="AD4" s="10" t="n">
        <v>52000</v>
      </c>
      <c r="AE4" s="10" t="n">
        <v>49300</v>
      </c>
      <c r="AF4" s="10" t="n">
        <v>49900</v>
      </c>
      <c r="AG4" s="10" t="n">
        <v>48550</v>
      </c>
      <c r="AH4" s="10" t="n">
        <v>48600</v>
      </c>
      <c r="AI4" s="10" t="n">
        <v>48100</v>
      </c>
      <c r="AJ4" s="10" t="n">
        <v>44200</v>
      </c>
      <c r="AK4" s="10" t="n">
        <v>43500</v>
      </c>
      <c r="AL4" s="10" t="n">
        <v>41500</v>
      </c>
      <c r="AM4" s="10" t="n">
        <v>41800</v>
      </c>
      <c r="AN4" s="10" t="n">
        <v>41200</v>
      </c>
      <c r="AO4" s="10" t="n">
        <v>41750</v>
      </c>
      <c r="AP4" s="10" t="n">
        <v>42400</v>
      </c>
      <c r="AQ4" s="10" t="n">
        <v>41650</v>
      </c>
      <c r="AR4" s="10" t="n">
        <v>41900</v>
      </c>
      <c r="AS4" s="10" t="n">
        <v>42050</v>
      </c>
      <c r="AT4" s="10" t="n">
        <v>42050</v>
      </c>
      <c r="AU4" s="10" t="n">
        <v>43050</v>
      </c>
      <c r="AV4" s="10" t="n">
        <v>42250</v>
      </c>
      <c r="AW4" s="10" t="n">
        <v>41500</v>
      </c>
      <c r="AX4" s="10" t="n">
        <v>41100</v>
      </c>
      <c r="AY4" s="10" t="n">
        <v>41800</v>
      </c>
      <c r="AZ4" s="10" t="n">
        <v>43100</v>
      </c>
      <c r="BA4" s="10" t="n">
        <v>49300</v>
      </c>
      <c r="BB4" s="10" t="n">
        <v>46000</v>
      </c>
      <c r="BC4" s="10" t="n">
        <v>46300</v>
      </c>
      <c r="BD4" s="10" t="n">
        <v>47300</v>
      </c>
      <c r="BE4" s="10" t="n">
        <v>51800</v>
      </c>
      <c r="BF4" s="10" t="n">
        <v>51500</v>
      </c>
      <c r="BG4" s="10" t="n">
        <v>53200</v>
      </c>
      <c r="BH4" s="10" t="n">
        <v>52000</v>
      </c>
      <c r="BI4" s="12">
        <f>MIN(E4:BH4)</f>
        <v/>
      </c>
      <c r="BJ4" s="12">
        <f>MAX(E4:BH4)</f>
        <v/>
      </c>
      <c r="BK4" s="12">
        <f>AVERAGE(E4:BH4)</f>
        <v/>
      </c>
    </row>
    <row r="5" ht="19" customHeight="1">
      <c r="A5" s="68" t="n">
        <v>4</v>
      </c>
      <c r="B5" s="8" t="inlineStr">
        <is>
          <t>GAS</t>
        </is>
      </c>
      <c r="C5" s="9" t="inlineStr">
        <is>
          <t>VN30 Index (Nhóm Trụ Cột)</t>
        </is>
      </c>
      <c r="D5" s="68" t="inlineStr">
        <is>
          <t>HOSE</t>
        </is>
      </c>
      <c r="E5" s="10" t="n">
        <v>59611.65234375</v>
      </c>
      <c r="F5" s="10" t="n">
        <v>60194.17578125</v>
      </c>
      <c r="G5" s="10" t="n">
        <v>59223.30078125</v>
      </c>
      <c r="H5" s="10" t="n">
        <v>62135.921875</v>
      </c>
      <c r="I5" s="10" t="n">
        <v>61941.74609375</v>
      </c>
      <c r="J5" s="10" t="n">
        <v>60970.875</v>
      </c>
      <c r="K5" s="10" t="n">
        <v>69708.734375</v>
      </c>
      <c r="L5" s="10" t="n">
        <v>66504.8515625</v>
      </c>
      <c r="M5" s="10" t="n">
        <v>64271.84375</v>
      </c>
      <c r="N5" s="10" t="n">
        <v>66407.765625</v>
      </c>
      <c r="O5" s="10" t="n">
        <v>65728.15625</v>
      </c>
      <c r="P5" s="10" t="n">
        <v>67087.375</v>
      </c>
      <c r="Q5" s="10" t="n">
        <v>65728.15625</v>
      </c>
      <c r="R5" s="10" t="n">
        <v>67087.375</v>
      </c>
      <c r="S5" s="10" t="n">
        <v>67669.90625</v>
      </c>
      <c r="T5" s="10" t="n">
        <v>67281.5546875</v>
      </c>
      <c r="U5" s="10" t="n">
        <v>64900</v>
      </c>
      <c r="V5" s="10" t="n">
        <v>64200</v>
      </c>
      <c r="W5" s="10" t="n">
        <v>62000</v>
      </c>
      <c r="X5" s="10" t="n">
        <v>63000</v>
      </c>
      <c r="Y5" s="10" t="n">
        <v>61900</v>
      </c>
      <c r="Z5" s="10" t="n">
        <v>60300</v>
      </c>
      <c r="AA5" s="10" t="n">
        <v>60900</v>
      </c>
      <c r="AB5" s="10" t="n">
        <v>58700</v>
      </c>
      <c r="AC5" s="10" t="n">
        <v>59800</v>
      </c>
      <c r="AD5" s="10" t="n">
        <v>59700</v>
      </c>
      <c r="AE5" s="10" t="n">
        <v>62900</v>
      </c>
      <c r="AF5" s="10" t="n">
        <v>62800</v>
      </c>
      <c r="AG5" s="10" t="n">
        <v>61900</v>
      </c>
      <c r="AH5" s="10" t="n">
        <v>63400</v>
      </c>
      <c r="AI5" s="10" t="n">
        <v>64000</v>
      </c>
      <c r="AJ5" s="10" t="n">
        <v>61300</v>
      </c>
      <c r="AK5" s="10" t="n">
        <v>64000</v>
      </c>
      <c r="AL5" s="10" t="n">
        <v>70500</v>
      </c>
      <c r="AM5" s="10" t="n">
        <v>72400</v>
      </c>
      <c r="AN5" s="10" t="n">
        <v>97100</v>
      </c>
      <c r="AO5" s="10" t="n">
        <v>99800</v>
      </c>
      <c r="AP5" s="10" t="n">
        <v>100800</v>
      </c>
      <c r="AQ5" s="10" t="n">
        <v>117000</v>
      </c>
      <c r="AR5" s="10" t="n">
        <v>115000</v>
      </c>
      <c r="AS5" s="10" t="n">
        <v>101600</v>
      </c>
      <c r="AT5" s="10" t="n">
        <v>101600</v>
      </c>
      <c r="AU5" s="10" t="n">
        <v>107900</v>
      </c>
      <c r="AV5" s="10" t="n">
        <v>112100</v>
      </c>
      <c r="AW5" s="10" t="n">
        <v>91800</v>
      </c>
      <c r="AX5" s="10" t="n">
        <v>82000</v>
      </c>
      <c r="AY5" s="10" t="n">
        <v>82100</v>
      </c>
      <c r="AZ5" s="10" t="n">
        <v>79700</v>
      </c>
      <c r="BA5" s="10" t="n">
        <v>80700</v>
      </c>
      <c r="BB5" s="10" t="n">
        <v>80100</v>
      </c>
      <c r="BC5" s="10" t="n">
        <v>78300</v>
      </c>
      <c r="BD5" s="10" t="n">
        <v>75200</v>
      </c>
      <c r="BE5" s="10" t="n">
        <v>74700</v>
      </c>
      <c r="BF5" s="10" t="n">
        <v>89400</v>
      </c>
      <c r="BG5" s="10" t="n">
        <v>84900</v>
      </c>
      <c r="BH5" s="10" t="n">
        <v>87400</v>
      </c>
      <c r="BI5" s="12">
        <f>MIN(E5:BH5)</f>
        <v/>
      </c>
      <c r="BJ5" s="12">
        <f>MAX(E5:BH5)</f>
        <v/>
      </c>
      <c r="BK5" s="12">
        <f>AVERAGE(E5:BH5)</f>
        <v/>
      </c>
    </row>
    <row r="6" ht="19" customHeight="1">
      <c r="A6" s="68" t="n">
        <v>5</v>
      </c>
      <c r="B6" s="8" t="inlineStr">
        <is>
          <t>VJC</t>
        </is>
      </c>
      <c r="C6" s="9" t="inlineStr">
        <is>
          <t>VN30 Index (Nhóm Trụ Cột)</t>
        </is>
      </c>
      <c r="D6" s="68" t="inlineStr">
        <is>
          <t>HOSE</t>
        </is>
      </c>
      <c r="E6" s="10" t="n">
        <v>69076.921875</v>
      </c>
      <c r="F6" s="10" t="n">
        <v>70000</v>
      </c>
      <c r="G6" s="10" t="n">
        <v>67076.921875</v>
      </c>
      <c r="H6" s="10" t="n">
        <v>67307.6953125</v>
      </c>
      <c r="I6" s="10" t="n">
        <v>70230.765625</v>
      </c>
      <c r="J6" s="10" t="n">
        <v>68384.6171875</v>
      </c>
      <c r="K6" s="10" t="n">
        <v>68076.921875</v>
      </c>
      <c r="L6" s="10" t="n">
        <v>67000</v>
      </c>
      <c r="M6" s="10" t="n">
        <v>68461.5390625</v>
      </c>
      <c r="N6" s="10" t="n">
        <v>73846.15625</v>
      </c>
      <c r="O6" s="10" t="n">
        <v>72538.4609375</v>
      </c>
      <c r="P6" s="10" t="n">
        <v>87692.3046875</v>
      </c>
      <c r="Q6" s="10" t="n">
        <v>93230.765625</v>
      </c>
      <c r="R6" s="10" t="n">
        <v>98230.765625</v>
      </c>
      <c r="S6" s="10" t="n">
        <v>104846.15625</v>
      </c>
      <c r="T6" s="10" t="n">
        <v>112153.84375</v>
      </c>
      <c r="U6" s="10" t="n">
        <v>111538.4609375</v>
      </c>
      <c r="V6" s="10" t="n">
        <v>107692.3046875</v>
      </c>
      <c r="W6" s="10" t="n">
        <v>111846.15625</v>
      </c>
      <c r="X6" s="10" t="n">
        <v>107538.4609375</v>
      </c>
      <c r="Y6" s="10" t="n">
        <v>104538.4609375</v>
      </c>
      <c r="Z6" s="10" t="n">
        <v>99000</v>
      </c>
      <c r="AA6" s="10" t="n">
        <v>102384.6171875</v>
      </c>
      <c r="AB6" s="10" t="n">
        <v>133461.53125</v>
      </c>
      <c r="AC6" s="10" t="n">
        <v>141538.46875</v>
      </c>
      <c r="AD6" s="10" t="n">
        <v>150384.609375</v>
      </c>
      <c r="AE6" s="10" t="n">
        <v>136923.078125</v>
      </c>
      <c r="AF6" s="10" t="n">
        <v>135692.3125</v>
      </c>
      <c r="AG6" s="10" t="n">
        <v>149692.3125</v>
      </c>
      <c r="AH6" s="10" t="n">
        <v>156538.46875</v>
      </c>
      <c r="AI6" s="10" t="n">
        <v>159615.390625</v>
      </c>
      <c r="AJ6" s="10" t="n">
        <v>142307.6875</v>
      </c>
      <c r="AK6" s="10" t="n">
        <v>153769.234375</v>
      </c>
      <c r="AL6" s="10" t="n">
        <v>159923.078125</v>
      </c>
      <c r="AM6" s="10" t="n">
        <v>160769.234375</v>
      </c>
      <c r="AN6" s="10" t="n">
        <v>152846.15625</v>
      </c>
      <c r="AO6" s="10" t="n">
        <v>141538.46875</v>
      </c>
      <c r="AP6" s="10" t="n">
        <v>148923.078125</v>
      </c>
      <c r="AQ6" s="10" t="n">
        <v>131153.84375</v>
      </c>
      <c r="AR6" s="10" t="n">
        <v>127692.3046875</v>
      </c>
      <c r="AS6" s="10" t="n">
        <v>130153.84375</v>
      </c>
      <c r="AT6" s="10" t="n">
        <v>130153.84375</v>
      </c>
      <c r="AU6" s="10" t="n">
        <v>135230.765625</v>
      </c>
      <c r="AV6" s="10" t="n">
        <v>120307.6953125</v>
      </c>
      <c r="AW6" s="10" t="n">
        <v>120615.3828125</v>
      </c>
      <c r="AX6" s="10" t="n">
        <v>121000</v>
      </c>
      <c r="AY6" s="10" t="n">
        <v>120769.234375</v>
      </c>
      <c r="AZ6" s="10" t="n">
        <v>123923.078125</v>
      </c>
      <c r="BA6" s="10" t="n">
        <v>128461.5390625</v>
      </c>
      <c r="BB6" s="10" t="n">
        <v>136769.234375</v>
      </c>
      <c r="BC6" s="10" t="n">
        <v>138846.15625</v>
      </c>
      <c r="BD6" s="10" t="n">
        <v>138461.53125</v>
      </c>
      <c r="BE6" s="10" t="n">
        <v>135538.46875</v>
      </c>
      <c r="BF6" s="10" t="n">
        <v>131769.234375</v>
      </c>
      <c r="BG6" s="10" t="n">
        <v>130846.15625</v>
      </c>
      <c r="BH6" s="10" t="n">
        <v>132230.765625</v>
      </c>
      <c r="BI6" s="12">
        <f>MIN(E6:BH6)</f>
        <v/>
      </c>
      <c r="BJ6" s="12">
        <f>MAX(E6:BH6)</f>
        <v/>
      </c>
      <c r="BK6" s="12">
        <f>AVERAGE(E6:BH6)</f>
        <v/>
      </c>
    </row>
    <row r="7" ht="19" customHeight="1">
      <c r="A7" s="68" t="n">
        <v>6</v>
      </c>
      <c r="B7" s="8" t="inlineStr">
        <is>
          <t>GVR</t>
        </is>
      </c>
      <c r="C7" s="9" t="inlineStr">
        <is>
          <t>VN30 Index (Nhóm Trụ Cột)</t>
        </is>
      </c>
      <c r="D7" s="68" t="inlineStr">
        <is>
          <t>HOSE</t>
        </is>
      </c>
      <c r="E7" s="10" t="n">
        <v>26550</v>
      </c>
      <c r="F7" s="10" t="n">
        <v>28100</v>
      </c>
      <c r="G7" s="10" t="n">
        <v>26850</v>
      </c>
      <c r="H7" s="10" t="n">
        <v>29400</v>
      </c>
      <c r="I7" s="10" t="n">
        <v>29200</v>
      </c>
      <c r="J7" s="10" t="n">
        <v>28550</v>
      </c>
      <c r="K7" s="10" t="n">
        <v>29900</v>
      </c>
      <c r="L7" s="10" t="n">
        <v>30500</v>
      </c>
      <c r="M7" s="10" t="n">
        <v>29600</v>
      </c>
      <c r="N7" s="10" t="n">
        <v>30100</v>
      </c>
      <c r="O7" s="10" t="n">
        <v>30050</v>
      </c>
      <c r="P7" s="10" t="n">
        <v>31650</v>
      </c>
      <c r="Q7" s="10" t="n">
        <v>30100</v>
      </c>
      <c r="R7" s="10" t="n">
        <v>31100</v>
      </c>
      <c r="S7" s="10" t="n">
        <v>32100</v>
      </c>
      <c r="T7" s="10" t="n">
        <v>31700</v>
      </c>
      <c r="U7" s="10" t="n">
        <v>29200</v>
      </c>
      <c r="V7" s="10" t="n">
        <v>29500</v>
      </c>
      <c r="W7" s="10" t="n">
        <v>28750</v>
      </c>
      <c r="X7" s="10" t="n">
        <v>28800</v>
      </c>
      <c r="Y7" s="10" t="n">
        <v>28800</v>
      </c>
      <c r="Z7" s="10" t="n">
        <v>27300</v>
      </c>
      <c r="AA7" s="10" t="n">
        <v>28000</v>
      </c>
      <c r="AB7" s="10" t="n">
        <v>27200</v>
      </c>
      <c r="AC7" s="10" t="n">
        <v>26100</v>
      </c>
      <c r="AD7" s="10" t="n">
        <v>28350</v>
      </c>
      <c r="AE7" s="10" t="n">
        <v>27800</v>
      </c>
      <c r="AF7" s="10" t="n">
        <v>28400</v>
      </c>
      <c r="AG7" s="10" t="n">
        <v>27800</v>
      </c>
      <c r="AH7" s="10" t="n">
        <v>27300</v>
      </c>
      <c r="AI7" s="10" t="n">
        <v>27400</v>
      </c>
      <c r="AJ7" s="10" t="n">
        <v>25300</v>
      </c>
      <c r="AK7" s="10" t="n">
        <v>26450</v>
      </c>
      <c r="AL7" s="10" t="n">
        <v>25500</v>
      </c>
      <c r="AM7" s="10" t="n">
        <v>26200</v>
      </c>
      <c r="AN7" s="10" t="n">
        <v>31600</v>
      </c>
      <c r="AO7" s="10" t="n">
        <v>35900</v>
      </c>
      <c r="AP7" s="10" t="n">
        <v>36900</v>
      </c>
      <c r="AQ7" s="10" t="n">
        <v>39850</v>
      </c>
      <c r="AR7" s="10" t="n">
        <v>39000</v>
      </c>
      <c r="AS7" s="10" t="n">
        <v>36400</v>
      </c>
      <c r="AT7" s="10" t="n">
        <v>36400</v>
      </c>
      <c r="AU7" s="10" t="n">
        <v>40000</v>
      </c>
      <c r="AV7" s="10" t="n">
        <v>37750</v>
      </c>
      <c r="AW7" s="10" t="n">
        <v>34000</v>
      </c>
      <c r="AX7" s="10" t="n">
        <v>30750</v>
      </c>
      <c r="AY7" s="10" t="n">
        <v>32100</v>
      </c>
      <c r="AZ7" s="10" t="n">
        <v>32050</v>
      </c>
      <c r="BA7" s="10" t="n">
        <v>33650</v>
      </c>
      <c r="BB7" s="10" t="n">
        <v>33500</v>
      </c>
      <c r="BC7" s="10" t="n">
        <v>33350</v>
      </c>
      <c r="BD7" s="10" t="n">
        <v>33700</v>
      </c>
      <c r="BE7" s="10" t="n">
        <v>35700</v>
      </c>
      <c r="BF7" s="10" t="n">
        <v>37750</v>
      </c>
      <c r="BG7" s="10" t="n">
        <v>35300</v>
      </c>
      <c r="BH7" s="10" t="n">
        <v>34900</v>
      </c>
      <c r="BI7" s="12">
        <f>MIN(E7:BH7)</f>
        <v/>
      </c>
      <c r="BJ7" s="12">
        <f>MAX(E7:BH7)</f>
        <v/>
      </c>
      <c r="BK7" s="12">
        <f>AVERAGE(E7:BH7)</f>
        <v/>
      </c>
    </row>
    <row r="8" ht="19" customHeight="1">
      <c r="A8" s="68" t="n">
        <v>7</v>
      </c>
      <c r="B8" s="8" t="inlineStr">
        <is>
          <t>BVH</t>
        </is>
      </c>
      <c r="C8" s="9" t="inlineStr">
        <is>
          <t>VN30 Index (Nhóm Trụ Cột)</t>
        </is>
      </c>
      <c r="D8" s="68" t="inlineStr">
        <is>
          <t>HOSE</t>
        </is>
      </c>
      <c r="E8" s="10" t="n">
        <v>48900</v>
      </c>
      <c r="F8" s="10" t="n">
        <v>49600</v>
      </c>
      <c r="G8" s="10" t="n">
        <v>49500</v>
      </c>
      <c r="H8" s="10" t="n">
        <v>51600</v>
      </c>
      <c r="I8" s="10" t="n">
        <v>50400</v>
      </c>
      <c r="J8" s="10" t="n">
        <v>49800</v>
      </c>
      <c r="K8" s="10" t="n">
        <v>51300</v>
      </c>
      <c r="L8" s="10" t="n">
        <v>52500</v>
      </c>
      <c r="M8" s="10" t="n">
        <v>53000</v>
      </c>
      <c r="N8" s="10" t="n">
        <v>54000</v>
      </c>
      <c r="O8" s="10" t="n">
        <v>53500</v>
      </c>
      <c r="P8" s="10" t="n">
        <v>52200</v>
      </c>
      <c r="Q8" s="10" t="n">
        <v>49250</v>
      </c>
      <c r="R8" s="10" t="n">
        <v>52000</v>
      </c>
      <c r="S8" s="10" t="n">
        <v>60900</v>
      </c>
      <c r="T8" s="10" t="n">
        <v>60000</v>
      </c>
      <c r="U8" s="10" t="n">
        <v>60500</v>
      </c>
      <c r="V8" s="10" t="n">
        <v>60500</v>
      </c>
      <c r="W8" s="10" t="n">
        <v>57700</v>
      </c>
      <c r="X8" s="10" t="n">
        <v>58700</v>
      </c>
      <c r="Y8" s="10" t="n">
        <v>56500</v>
      </c>
      <c r="Z8" s="10" t="n">
        <v>54100</v>
      </c>
      <c r="AA8" s="10" t="n">
        <v>55100</v>
      </c>
      <c r="AB8" s="10" t="n">
        <v>51400</v>
      </c>
      <c r="AC8" s="10" t="n">
        <v>49400</v>
      </c>
      <c r="AD8" s="10" t="n">
        <v>50600</v>
      </c>
      <c r="AE8" s="10" t="n">
        <v>52000</v>
      </c>
      <c r="AF8" s="10" t="n">
        <v>55300</v>
      </c>
      <c r="AG8" s="10" t="n">
        <v>54100</v>
      </c>
      <c r="AH8" s="10" t="n">
        <v>52100</v>
      </c>
      <c r="AI8" s="10" t="n">
        <v>52000</v>
      </c>
      <c r="AJ8" s="10" t="n">
        <v>52000</v>
      </c>
      <c r="AK8" s="10" t="n">
        <v>54000</v>
      </c>
      <c r="AL8" s="10" t="n">
        <v>55900</v>
      </c>
      <c r="AM8" s="10" t="n">
        <v>56800</v>
      </c>
      <c r="AN8" s="10" t="n">
        <v>67500</v>
      </c>
      <c r="AO8" s="10" t="n">
        <v>73700</v>
      </c>
      <c r="AP8" s="10" t="n">
        <v>72600</v>
      </c>
      <c r="AQ8" s="10" t="n">
        <v>69800</v>
      </c>
      <c r="AR8" s="10" t="n">
        <v>78000</v>
      </c>
      <c r="AS8" s="10" t="n">
        <v>76000</v>
      </c>
      <c r="AT8" s="10" t="n">
        <v>76000</v>
      </c>
      <c r="AU8" s="10" t="n">
        <v>81100</v>
      </c>
      <c r="AV8" s="10" t="n">
        <v>76600</v>
      </c>
      <c r="AW8" s="10" t="n">
        <v>72700</v>
      </c>
      <c r="AX8" s="10" t="n">
        <v>76000</v>
      </c>
      <c r="AY8" s="10" t="n">
        <v>84000</v>
      </c>
      <c r="AZ8" s="10" t="n">
        <v>85000</v>
      </c>
      <c r="BA8" s="10" t="n">
        <v>76400</v>
      </c>
      <c r="BB8" s="10" t="n">
        <v>72600</v>
      </c>
      <c r="BC8" s="10" t="n">
        <v>71800</v>
      </c>
      <c r="BD8" s="10" t="n">
        <v>70500</v>
      </c>
      <c r="BE8" s="10" t="n">
        <v>66000</v>
      </c>
      <c r="BF8" s="10" t="n">
        <v>67100</v>
      </c>
      <c r="BG8" s="10" t="n">
        <v>72000</v>
      </c>
      <c r="BH8" s="10" t="n">
        <v>67700</v>
      </c>
      <c r="BI8" s="12">
        <f>MIN(E8:BH8)</f>
        <v/>
      </c>
      <c r="BJ8" s="12">
        <f>MAX(E8:BH8)</f>
        <v/>
      </c>
      <c r="BK8" s="12">
        <f>AVERAGE(E8:BH8)</f>
        <v/>
      </c>
    </row>
    <row r="9" ht="19" customHeight="1">
      <c r="A9" s="68" t="n">
        <v>8</v>
      </c>
      <c r="B9" s="8" t="inlineStr">
        <is>
          <t>HDB</t>
        </is>
      </c>
      <c r="C9" s="9" t="inlineStr">
        <is>
          <t>VN30 Index (Nhóm Trụ Cột)</t>
        </is>
      </c>
      <c r="D9" s="68" t="inlineStr">
        <is>
          <t>HOSE</t>
        </is>
      </c>
      <c r="E9" s="10" t="n">
        <v>16385.2265625</v>
      </c>
      <c r="F9" s="10" t="n">
        <v>17156.294921875</v>
      </c>
      <c r="G9" s="10" t="n">
        <v>17002.08203125</v>
      </c>
      <c r="H9" s="10" t="n">
        <v>17002.08203125</v>
      </c>
      <c r="I9" s="10" t="n">
        <v>16693.654296875</v>
      </c>
      <c r="J9" s="10" t="n">
        <v>16770.76171875</v>
      </c>
      <c r="K9" s="10" t="n">
        <v>16963.529296875</v>
      </c>
      <c r="L9" s="10" t="n">
        <v>16732.20703125</v>
      </c>
      <c r="M9" s="10" t="n">
        <v>17387.6171875</v>
      </c>
      <c r="N9" s="10" t="n">
        <v>18775.541015625</v>
      </c>
      <c r="O9" s="10" t="n">
        <v>18775.541015625</v>
      </c>
      <c r="P9" s="10" t="n">
        <v>21281.517578125</v>
      </c>
      <c r="Q9" s="10" t="n">
        <v>20394.787109375</v>
      </c>
      <c r="R9" s="10" t="n">
        <v>21975.48046875</v>
      </c>
      <c r="S9" s="10" t="n">
        <v>23864.599609375</v>
      </c>
      <c r="T9" s="10" t="n">
        <v>25638.060546875</v>
      </c>
      <c r="U9" s="10" t="n">
        <v>25059.7578125</v>
      </c>
      <c r="V9" s="10" t="n">
        <v>25560.953125</v>
      </c>
      <c r="W9" s="10" t="n">
        <v>24288.6875</v>
      </c>
      <c r="X9" s="10" t="n">
        <v>23671.83203125</v>
      </c>
      <c r="Y9" s="10" t="n">
        <v>23903.154296875</v>
      </c>
      <c r="Z9" s="10" t="n">
        <v>23787.494140625</v>
      </c>
      <c r="AA9" s="10" t="n">
        <v>24404.349609375</v>
      </c>
      <c r="AB9" s="10" t="n">
        <v>25753.720703125</v>
      </c>
      <c r="AC9" s="10" t="n">
        <v>25445.29296875</v>
      </c>
      <c r="AD9" s="10" t="n">
        <v>25753.720703125</v>
      </c>
      <c r="AE9" s="10" t="n">
        <v>23132.083984375</v>
      </c>
      <c r="AF9" s="10" t="n">
        <v>23016.423828125</v>
      </c>
      <c r="AG9" s="10" t="n">
        <v>24057.3671875</v>
      </c>
      <c r="AH9" s="10" t="n">
        <v>24674.22265625</v>
      </c>
      <c r="AI9" s="10" t="n">
        <v>25406.73828125</v>
      </c>
      <c r="AJ9" s="10" t="n">
        <v>23286.298828125</v>
      </c>
      <c r="AK9" s="10" t="n">
        <v>25950</v>
      </c>
      <c r="AL9" s="10" t="n">
        <v>27600</v>
      </c>
      <c r="AM9" s="10" t="n">
        <v>29700</v>
      </c>
      <c r="AN9" s="10" t="n">
        <v>27900</v>
      </c>
      <c r="AO9" s="10" t="n">
        <v>28450</v>
      </c>
      <c r="AP9" s="10" t="n">
        <v>29600</v>
      </c>
      <c r="AQ9" s="10" t="n">
        <v>28300</v>
      </c>
      <c r="AR9" s="10" t="n">
        <v>26500</v>
      </c>
      <c r="AS9" s="10" t="n">
        <v>28200</v>
      </c>
      <c r="AT9" s="10" t="n">
        <v>28200</v>
      </c>
      <c r="AU9" s="10" t="n">
        <v>27950</v>
      </c>
      <c r="AV9" s="10" t="n">
        <v>25900</v>
      </c>
      <c r="AW9" s="10" t="n">
        <v>25600</v>
      </c>
      <c r="AX9" s="10" t="n">
        <v>25000</v>
      </c>
      <c r="AY9" s="10" t="n">
        <v>25300</v>
      </c>
      <c r="AZ9" s="10" t="n">
        <v>25600</v>
      </c>
      <c r="BA9" s="10" t="n">
        <v>26150</v>
      </c>
      <c r="BB9" s="10" t="n">
        <v>26200</v>
      </c>
      <c r="BC9" s="10" t="n">
        <v>26900</v>
      </c>
      <c r="BD9" s="10" t="n">
        <v>26600</v>
      </c>
      <c r="BE9" s="10" t="n">
        <v>27350</v>
      </c>
      <c r="BF9" s="10" t="n">
        <v>27550</v>
      </c>
      <c r="BG9" s="10" t="n">
        <v>25850</v>
      </c>
      <c r="BH9" s="10" t="n">
        <v>25900</v>
      </c>
      <c r="BI9" s="12">
        <f>MIN(E9:BH9)</f>
        <v/>
      </c>
      <c r="BJ9" s="12">
        <f>MAX(E9:BH9)</f>
        <v/>
      </c>
      <c r="BK9" s="12">
        <f>AVERAGE(E9:BH9)</f>
        <v/>
      </c>
    </row>
    <row r="10" ht="19" customHeight="1">
      <c r="A10" s="68" t="n">
        <v>9</v>
      </c>
      <c r="B10" s="8" t="inlineStr">
        <is>
          <t>POW</t>
        </is>
      </c>
      <c r="C10" s="9" t="inlineStr">
        <is>
          <t>VN30 Index (Nhóm Trụ Cột)</t>
        </is>
      </c>
      <c r="D10" s="68" t="inlineStr">
        <is>
          <t>HOSE</t>
        </is>
      </c>
      <c r="E10" s="10" t="n">
        <v>10756.302734375</v>
      </c>
      <c r="F10" s="10" t="n">
        <v>10798.3193359375</v>
      </c>
      <c r="G10" s="10" t="n">
        <v>11428.5712890625</v>
      </c>
      <c r="H10" s="10" t="n">
        <v>11176.470703125</v>
      </c>
      <c r="I10" s="10" t="n">
        <v>11512.60546875</v>
      </c>
      <c r="J10" s="10" t="n">
        <v>10966.38671875</v>
      </c>
      <c r="K10" s="10" t="n">
        <v>10924.3701171875</v>
      </c>
      <c r="L10" s="10" t="n">
        <v>10882.3525390625</v>
      </c>
      <c r="M10" s="10" t="n">
        <v>11134.4541015625</v>
      </c>
      <c r="N10" s="10" t="n">
        <v>11344.5380859375</v>
      </c>
      <c r="O10" s="10" t="n">
        <v>11554.6220703125</v>
      </c>
      <c r="P10" s="10" t="n">
        <v>11764.7060546875</v>
      </c>
      <c r="Q10" s="10" t="n">
        <v>12100.8408203125</v>
      </c>
      <c r="R10" s="10" t="n">
        <v>12521.0087890625</v>
      </c>
      <c r="S10" s="10" t="n">
        <v>13781.5126953125</v>
      </c>
      <c r="T10" s="10" t="n">
        <v>13529.412109375</v>
      </c>
      <c r="U10" s="10" t="n">
        <v>13823.529296875</v>
      </c>
      <c r="V10" s="10" t="n">
        <v>14075.6298828125</v>
      </c>
      <c r="W10" s="10" t="n">
        <v>12731.0927734375</v>
      </c>
      <c r="X10" s="10" t="n">
        <v>12899.1591796875</v>
      </c>
      <c r="Y10" s="10" t="n">
        <v>12773.109375</v>
      </c>
      <c r="Z10" s="10" t="n">
        <v>11932.7734375</v>
      </c>
      <c r="AA10" s="10" t="n">
        <v>12268.9072265625</v>
      </c>
      <c r="AB10" s="10" t="n">
        <v>12058.8232421875</v>
      </c>
      <c r="AC10" s="10" t="n">
        <v>11386.5546875</v>
      </c>
      <c r="AD10" s="10" t="n">
        <v>11932.7734375</v>
      </c>
      <c r="AE10" s="10" t="n">
        <v>11932.7734375</v>
      </c>
      <c r="AF10" s="10" t="n">
        <v>12521.0087890625</v>
      </c>
      <c r="AG10" s="10" t="n">
        <v>12563.025390625</v>
      </c>
      <c r="AH10" s="10" t="n">
        <v>12815.1259765625</v>
      </c>
      <c r="AI10" s="10" t="n">
        <v>12647.05859375</v>
      </c>
      <c r="AJ10" s="10" t="n">
        <v>11550</v>
      </c>
      <c r="AK10" s="10" t="n">
        <v>12200</v>
      </c>
      <c r="AL10" s="10" t="n">
        <v>12800</v>
      </c>
      <c r="AM10" s="10" t="n">
        <v>12700</v>
      </c>
      <c r="AN10" s="10" t="n">
        <v>14400</v>
      </c>
      <c r="AO10" s="10" t="n">
        <v>14250</v>
      </c>
      <c r="AP10" s="10" t="n">
        <v>13900</v>
      </c>
      <c r="AQ10" s="10" t="n">
        <v>13750</v>
      </c>
      <c r="AR10" s="10" t="n">
        <v>13500</v>
      </c>
      <c r="AS10" s="10" t="n">
        <v>13400</v>
      </c>
      <c r="AT10" s="10" t="n">
        <v>13400</v>
      </c>
      <c r="AU10" s="10" t="n">
        <v>14500</v>
      </c>
      <c r="AV10" s="10" t="n">
        <v>14550</v>
      </c>
      <c r="AW10" s="10" t="n">
        <v>13300</v>
      </c>
      <c r="AX10" s="10" t="n">
        <v>13150</v>
      </c>
      <c r="AY10" s="10" t="n">
        <v>13050</v>
      </c>
      <c r="AZ10" s="10" t="n">
        <v>12650</v>
      </c>
      <c r="BA10" s="10" t="n">
        <v>13000</v>
      </c>
      <c r="BB10" s="10" t="n">
        <v>13250</v>
      </c>
      <c r="BC10" s="10" t="n">
        <v>12800</v>
      </c>
      <c r="BD10" s="10" t="n">
        <v>12650</v>
      </c>
      <c r="BE10" s="10" t="n">
        <v>14000</v>
      </c>
      <c r="BF10" s="10" t="n">
        <v>14100</v>
      </c>
      <c r="BG10" s="10" t="n">
        <v>13600</v>
      </c>
      <c r="BH10" s="10" t="n">
        <v>13700</v>
      </c>
      <c r="BI10" s="12">
        <f>MIN(E10:BH10)</f>
        <v/>
      </c>
      <c r="BJ10" s="12">
        <f>MAX(E10:BH10)</f>
        <v/>
      </c>
      <c r="BK10" s="12">
        <f>AVERAGE(E10:BH10)</f>
        <v/>
      </c>
    </row>
    <row r="11" ht="19" customHeight="1">
      <c r="A11" s="68" t="n">
        <v>10</v>
      </c>
      <c r="B11" s="8" t="inlineStr">
        <is>
          <t>VRE</t>
        </is>
      </c>
      <c r="C11" s="9" t="inlineStr">
        <is>
          <t>VN30 Index (Nhóm Trụ Cột)</t>
        </is>
      </c>
      <c r="D11" s="68" t="inlineStr">
        <is>
          <t>HOSE</t>
        </is>
      </c>
      <c r="E11" s="10" t="n">
        <v>25000</v>
      </c>
      <c r="F11" s="10" t="n">
        <v>24150</v>
      </c>
      <c r="G11" s="10" t="n">
        <v>25350</v>
      </c>
      <c r="H11" s="10" t="n">
        <v>27650</v>
      </c>
      <c r="I11" s="10" t="n">
        <v>27000</v>
      </c>
      <c r="J11" s="10" t="n">
        <v>25200</v>
      </c>
      <c r="K11" s="10" t="n">
        <v>24700</v>
      </c>
      <c r="L11" s="10" t="n">
        <v>24500</v>
      </c>
      <c r="M11" s="10" t="n">
        <v>25050</v>
      </c>
      <c r="N11" s="10" t="n">
        <v>28450</v>
      </c>
      <c r="O11" s="10" t="n">
        <v>29750</v>
      </c>
      <c r="P11" s="10" t="n">
        <v>29800</v>
      </c>
      <c r="Q11" s="10" t="n">
        <v>28100</v>
      </c>
      <c r="R11" s="10" t="n">
        <v>30500</v>
      </c>
      <c r="S11" s="10" t="n">
        <v>30150</v>
      </c>
      <c r="T11" s="10" t="n">
        <v>30400</v>
      </c>
      <c r="U11" s="10" t="n">
        <v>30700</v>
      </c>
      <c r="V11" s="10" t="n">
        <v>30300</v>
      </c>
      <c r="W11" s="10" t="n">
        <v>31100</v>
      </c>
      <c r="X11" s="10" t="n">
        <v>30200</v>
      </c>
      <c r="Y11" s="10" t="n">
        <v>29400</v>
      </c>
      <c r="Z11" s="10" t="n">
        <v>31750</v>
      </c>
      <c r="AA11" s="10" t="n">
        <v>38000</v>
      </c>
      <c r="AB11" s="10" t="n">
        <v>43400</v>
      </c>
      <c r="AC11" s="10" t="n">
        <v>39400</v>
      </c>
      <c r="AD11" s="10" t="n">
        <v>34600</v>
      </c>
      <c r="AE11" s="10" t="n">
        <v>31350</v>
      </c>
      <c r="AF11" s="10" t="n">
        <v>32100</v>
      </c>
      <c r="AG11" s="10" t="n">
        <v>32200</v>
      </c>
      <c r="AH11" s="10" t="n">
        <v>34250</v>
      </c>
      <c r="AI11" s="10" t="n">
        <v>33800</v>
      </c>
      <c r="AJ11" s="10" t="n">
        <v>27450</v>
      </c>
      <c r="AK11" s="10" t="n">
        <v>31700</v>
      </c>
      <c r="AL11" s="10" t="n">
        <v>32000</v>
      </c>
      <c r="AM11" s="10" t="n">
        <v>33650</v>
      </c>
      <c r="AN11" s="10" t="n">
        <v>35000</v>
      </c>
      <c r="AO11" s="10" t="n">
        <v>32000</v>
      </c>
      <c r="AP11" s="10" t="n">
        <v>32400</v>
      </c>
      <c r="AQ11" s="10" t="n">
        <v>30200</v>
      </c>
      <c r="AR11" s="10" t="n">
        <v>28050</v>
      </c>
      <c r="AS11" s="10" t="n">
        <v>29800</v>
      </c>
      <c r="AT11" s="10" t="n">
        <v>29800</v>
      </c>
      <c r="AU11" s="10" t="n">
        <v>29050</v>
      </c>
      <c r="AV11" s="10" t="n">
        <v>26250</v>
      </c>
      <c r="AW11" s="10" t="n">
        <v>25250</v>
      </c>
      <c r="AX11" s="10" t="n">
        <v>26150</v>
      </c>
      <c r="AY11" s="10" t="n">
        <v>25750</v>
      </c>
      <c r="AZ11" s="10" t="n">
        <v>26500</v>
      </c>
      <c r="BA11" s="10" t="n">
        <v>27500</v>
      </c>
      <c r="BB11" s="10" t="n">
        <v>28600</v>
      </c>
      <c r="BC11" s="10" t="n">
        <v>28800</v>
      </c>
      <c r="BD11" s="10" t="n">
        <v>32300</v>
      </c>
      <c r="BE11" s="10" t="n">
        <v>35900</v>
      </c>
      <c r="BF11" s="10" t="n">
        <v>34000</v>
      </c>
      <c r="BG11" s="10" t="n">
        <v>31700</v>
      </c>
      <c r="BH11" s="10" t="n">
        <v>32250</v>
      </c>
      <c r="BI11" s="12">
        <f>MIN(E11:BH11)</f>
        <v/>
      </c>
      <c r="BJ11" s="12">
        <f>MAX(E11:BH11)</f>
        <v/>
      </c>
      <c r="BK11" s="12">
        <f>AVERAGE(E11:BH11)</f>
        <v/>
      </c>
    </row>
    <row r="12" ht="19" customHeight="1">
      <c r="A12" s="68" t="n">
        <v>11</v>
      </c>
      <c r="B12" s="8" t="inlineStr">
        <is>
          <t>PLX</t>
        </is>
      </c>
      <c r="C12" s="9" t="inlineStr">
        <is>
          <t>VN30 Index (Nhóm Trụ Cột)</t>
        </is>
      </c>
      <c r="D12" s="68" t="inlineStr">
        <is>
          <t>HOSE</t>
        </is>
      </c>
      <c r="E12" s="10" t="n">
        <v>35700</v>
      </c>
      <c r="F12" s="10" t="n">
        <v>35550</v>
      </c>
      <c r="G12" s="10" t="n">
        <v>34800</v>
      </c>
      <c r="H12" s="10" t="n">
        <v>34900</v>
      </c>
      <c r="I12" s="10" t="n">
        <v>36100</v>
      </c>
      <c r="J12" s="10" t="n">
        <v>35250</v>
      </c>
      <c r="K12" s="10" t="n">
        <v>39550</v>
      </c>
      <c r="L12" s="10" t="n">
        <v>37050</v>
      </c>
      <c r="M12" s="10" t="n">
        <v>37000</v>
      </c>
      <c r="N12" s="10" t="n">
        <v>37900</v>
      </c>
      <c r="O12" s="10" t="n">
        <v>37100</v>
      </c>
      <c r="P12" s="10" t="n">
        <v>38100</v>
      </c>
      <c r="Q12" s="10" t="n">
        <v>36250</v>
      </c>
      <c r="R12" s="10" t="n">
        <v>37100</v>
      </c>
      <c r="S12" s="10" t="n">
        <v>37900</v>
      </c>
      <c r="T12" s="10" t="n">
        <v>36900</v>
      </c>
      <c r="U12" s="10" t="n">
        <v>36150</v>
      </c>
      <c r="V12" s="10" t="n">
        <v>36650</v>
      </c>
      <c r="W12" s="10" t="n">
        <v>35350</v>
      </c>
      <c r="X12" s="10" t="n">
        <v>35600</v>
      </c>
      <c r="Y12" s="10" t="n">
        <v>35050</v>
      </c>
      <c r="Z12" s="10" t="n">
        <v>34000</v>
      </c>
      <c r="AA12" s="10" t="n">
        <v>34100</v>
      </c>
      <c r="AB12" s="10" t="n">
        <v>33700</v>
      </c>
      <c r="AC12" s="10" t="n">
        <v>34250</v>
      </c>
      <c r="AD12" s="10" t="n">
        <v>34550</v>
      </c>
      <c r="AE12" s="10" t="n">
        <v>34000</v>
      </c>
      <c r="AF12" s="10" t="n">
        <v>34500</v>
      </c>
      <c r="AG12" s="10" t="n">
        <v>33950</v>
      </c>
      <c r="AH12" s="10" t="n">
        <v>33900</v>
      </c>
      <c r="AI12" s="10" t="n">
        <v>34400</v>
      </c>
      <c r="AJ12" s="10" t="n">
        <v>33700</v>
      </c>
      <c r="AK12" s="10" t="n">
        <v>34850</v>
      </c>
      <c r="AL12" s="10" t="n">
        <v>35550</v>
      </c>
      <c r="AM12" s="10" t="n">
        <v>35300</v>
      </c>
      <c r="AN12" s="10" t="n">
        <v>43000</v>
      </c>
      <c r="AO12" s="10" t="n">
        <v>52000</v>
      </c>
      <c r="AP12" s="10" t="n">
        <v>54600</v>
      </c>
      <c r="AQ12" s="10" t="n">
        <v>58900</v>
      </c>
      <c r="AR12" s="10" t="n">
        <v>57000</v>
      </c>
      <c r="AS12" s="10" t="n">
        <v>52000</v>
      </c>
      <c r="AT12" s="10" t="n">
        <v>52000</v>
      </c>
      <c r="AU12" s="10" t="n">
        <v>57800</v>
      </c>
      <c r="AV12" s="10" t="n">
        <v>62000</v>
      </c>
      <c r="AW12" s="10" t="n">
        <v>48400</v>
      </c>
      <c r="AX12" s="10" t="n">
        <v>42800</v>
      </c>
      <c r="AY12" s="10" t="n">
        <v>42250</v>
      </c>
      <c r="AZ12" s="10" t="n">
        <v>40200</v>
      </c>
      <c r="BA12" s="10" t="n">
        <v>41150</v>
      </c>
      <c r="BB12" s="10" t="n">
        <v>39950</v>
      </c>
      <c r="BC12" s="10" t="n">
        <v>39700</v>
      </c>
      <c r="BD12" s="10" t="n">
        <v>37150</v>
      </c>
      <c r="BE12" s="10" t="n">
        <v>37600</v>
      </c>
      <c r="BF12" s="10" t="n">
        <v>42200</v>
      </c>
      <c r="BG12" s="10" t="n">
        <v>41950</v>
      </c>
      <c r="BH12" s="10" t="n">
        <v>41000</v>
      </c>
      <c r="BI12" s="12">
        <f>MIN(E12:BH12)</f>
        <v/>
      </c>
      <c r="BJ12" s="12">
        <f>MAX(E12:BH12)</f>
        <v/>
      </c>
      <c r="BK12" s="12">
        <f>AVERAGE(E12:BH12)</f>
        <v/>
      </c>
    </row>
    <row r="13" ht="19" customHeight="1">
      <c r="A13" s="68" t="n">
        <v>12</v>
      </c>
      <c r="B13" s="8" t="inlineStr">
        <is>
          <t>VPB</t>
        </is>
      </c>
      <c r="C13" s="9" t="inlineStr">
        <is>
          <t>VN30 Index (Nhóm Trụ Cột)</t>
        </is>
      </c>
      <c r="D13" s="68" t="inlineStr">
        <is>
          <t>HOSE</t>
        </is>
      </c>
      <c r="E13" s="10" t="n">
        <v>17000</v>
      </c>
      <c r="F13" s="10" t="n">
        <v>18550</v>
      </c>
      <c r="G13" s="10" t="n">
        <v>18300</v>
      </c>
      <c r="H13" s="10" t="n">
        <v>18150</v>
      </c>
      <c r="I13" s="10" t="n">
        <v>18100</v>
      </c>
      <c r="J13" s="10" t="n">
        <v>18200</v>
      </c>
      <c r="K13" s="10" t="n">
        <v>18500</v>
      </c>
      <c r="L13" s="10" t="n">
        <v>18350</v>
      </c>
      <c r="M13" s="10" t="n">
        <v>18650</v>
      </c>
      <c r="N13" s="10" t="n">
        <v>20150</v>
      </c>
      <c r="O13" s="10" t="n">
        <v>20900</v>
      </c>
      <c r="P13" s="10" t="n">
        <v>23500</v>
      </c>
      <c r="Q13" s="10" t="n">
        <v>25800</v>
      </c>
      <c r="R13" s="10" t="n">
        <v>28950</v>
      </c>
      <c r="S13" s="10" t="n">
        <v>30800</v>
      </c>
      <c r="T13" s="10" t="n">
        <v>38650</v>
      </c>
      <c r="U13" s="10" t="n">
        <v>34000</v>
      </c>
      <c r="V13" s="10" t="n">
        <v>34900</v>
      </c>
      <c r="W13" s="10" t="n">
        <v>32250</v>
      </c>
      <c r="X13" s="10" t="n">
        <v>30800</v>
      </c>
      <c r="Y13" s="10" t="n">
        <v>30950</v>
      </c>
      <c r="Z13" s="10" t="n">
        <v>30150</v>
      </c>
      <c r="AA13" s="10" t="n">
        <v>32100</v>
      </c>
      <c r="AB13" s="10" t="n">
        <v>33200</v>
      </c>
      <c r="AC13" s="10" t="n">
        <v>30000</v>
      </c>
      <c r="AD13" s="10" t="n">
        <v>29200</v>
      </c>
      <c r="AE13" s="10" t="n">
        <v>27500</v>
      </c>
      <c r="AF13" s="10" t="n">
        <v>27800</v>
      </c>
      <c r="AG13" s="10" t="n">
        <v>28550</v>
      </c>
      <c r="AH13" s="10" t="n">
        <v>29250</v>
      </c>
      <c r="AI13" s="10" t="n">
        <v>29850</v>
      </c>
      <c r="AJ13" s="10" t="n">
        <v>26550</v>
      </c>
      <c r="AK13" s="10" t="n">
        <v>28450</v>
      </c>
      <c r="AL13" s="10" t="n">
        <v>28150</v>
      </c>
      <c r="AM13" s="10" t="n">
        <v>28650</v>
      </c>
      <c r="AN13" s="10" t="n">
        <v>28250</v>
      </c>
      <c r="AO13" s="10" t="n">
        <v>28900</v>
      </c>
      <c r="AP13" s="10" t="n">
        <v>28500</v>
      </c>
      <c r="AQ13" s="10" t="n">
        <v>28000</v>
      </c>
      <c r="AR13" s="10" t="n">
        <v>26800</v>
      </c>
      <c r="AS13" s="10" t="n">
        <v>28300</v>
      </c>
      <c r="AT13" s="10" t="n">
        <v>28300</v>
      </c>
      <c r="AU13" s="10" t="n">
        <v>28950</v>
      </c>
      <c r="AV13" s="10" t="n">
        <v>26650</v>
      </c>
      <c r="AW13" s="10" t="n">
        <v>25650</v>
      </c>
      <c r="AX13" s="10" t="n">
        <v>25050</v>
      </c>
      <c r="AY13" s="10" t="n">
        <v>26450</v>
      </c>
      <c r="AZ13" s="10" t="n">
        <v>25800</v>
      </c>
      <c r="BA13" s="10" t="n">
        <v>27300</v>
      </c>
      <c r="BB13" s="10" t="n">
        <v>28250</v>
      </c>
      <c r="BC13" s="10" t="n">
        <v>27250</v>
      </c>
      <c r="BD13" s="10" t="n">
        <v>26500</v>
      </c>
      <c r="BE13" s="10" t="n">
        <v>27950</v>
      </c>
      <c r="BF13" s="10" t="n">
        <v>27550</v>
      </c>
      <c r="BG13" s="10" t="n">
        <v>26800</v>
      </c>
      <c r="BH13" s="10" t="n">
        <v>27100</v>
      </c>
      <c r="BI13" s="12">
        <f>MIN(E13:BH13)</f>
        <v/>
      </c>
      <c r="BJ13" s="12">
        <f>MAX(E13:BH13)</f>
        <v/>
      </c>
      <c r="BK13" s="12">
        <f>AVERAGE(E13:BH13)</f>
        <v/>
      </c>
    </row>
    <row r="14" ht="19" customHeight="1">
      <c r="A14" s="68" t="n">
        <v>13</v>
      </c>
      <c r="B14" s="8" t="inlineStr">
        <is>
          <t>BID</t>
        </is>
      </c>
      <c r="C14" s="9" t="inlineStr">
        <is>
          <t>VN30 Index (Nhóm Trụ Cột)</t>
        </is>
      </c>
      <c r="D14" s="68" t="inlineStr">
        <is>
          <t>HOSE</t>
        </is>
      </c>
      <c r="E14" s="10" t="n">
        <v>33179.43359375</v>
      </c>
      <c r="F14" s="10" t="n">
        <v>35004.53515625</v>
      </c>
      <c r="G14" s="10" t="n">
        <v>33694.203125</v>
      </c>
      <c r="H14" s="10" t="n">
        <v>34115.3828125</v>
      </c>
      <c r="I14" s="10" t="n">
        <v>33226.23046875</v>
      </c>
      <c r="J14" s="10" t="n">
        <v>33039.0390625</v>
      </c>
      <c r="K14" s="10" t="n">
        <v>33507.015625</v>
      </c>
      <c r="L14" s="10" t="n">
        <v>33413.41796875</v>
      </c>
      <c r="M14" s="10" t="n">
        <v>33974.98828125</v>
      </c>
      <c r="N14" s="10" t="n">
        <v>35800.09375</v>
      </c>
      <c r="O14" s="10" t="n">
        <v>35846.890625</v>
      </c>
      <c r="P14" s="10" t="n">
        <v>36361.6640625</v>
      </c>
      <c r="Q14" s="10" t="n">
        <v>35425.7109375</v>
      </c>
      <c r="R14" s="10" t="n">
        <v>37859.18359375</v>
      </c>
      <c r="S14" s="10" t="n">
        <v>39450.296875</v>
      </c>
      <c r="T14" s="10" t="n">
        <v>39590.69140625</v>
      </c>
      <c r="U14" s="10" t="n">
        <v>39777.87890625</v>
      </c>
      <c r="V14" s="10" t="n">
        <v>40620.234375</v>
      </c>
      <c r="W14" s="10" t="n">
        <v>38046.37109375</v>
      </c>
      <c r="X14" s="10" t="n">
        <v>38186.765625</v>
      </c>
      <c r="Y14" s="10" t="n">
        <v>38280.359375</v>
      </c>
      <c r="Z14" s="10" t="n">
        <v>37531.6015625</v>
      </c>
      <c r="AA14" s="10" t="n">
        <v>38186.765625</v>
      </c>
      <c r="AB14" s="10" t="n">
        <v>37204.015625</v>
      </c>
      <c r="AC14" s="10" t="n">
        <v>34536.55859375</v>
      </c>
      <c r="AD14" s="10" t="n">
        <v>35472.5078125</v>
      </c>
      <c r="AE14" s="10" t="n">
        <v>35098.12890625</v>
      </c>
      <c r="AF14" s="10" t="n">
        <v>35893.6875</v>
      </c>
      <c r="AG14" s="10" t="n">
        <v>35191.7265625</v>
      </c>
      <c r="AH14" s="10" t="n">
        <v>34723.75</v>
      </c>
      <c r="AI14" s="10" t="n">
        <v>35378.9140625</v>
      </c>
      <c r="AJ14" s="10" t="n">
        <v>34630.15625</v>
      </c>
      <c r="AK14" s="10" t="n">
        <v>35285.3203125</v>
      </c>
      <c r="AL14" s="10" t="n">
        <v>36314.86328125</v>
      </c>
      <c r="AM14" s="10" t="n">
        <v>36408.4609375</v>
      </c>
      <c r="AN14" s="10" t="n">
        <v>43100.50390625</v>
      </c>
      <c r="AO14" s="10" t="n">
        <v>47827.05078125</v>
      </c>
      <c r="AP14" s="10" t="n">
        <v>47546.265625</v>
      </c>
      <c r="AQ14" s="10" t="n">
        <v>50447.7109375</v>
      </c>
      <c r="AR14" s="10" t="n">
        <v>48107.8359375</v>
      </c>
      <c r="AS14" s="10" t="n">
        <v>43896.0625</v>
      </c>
      <c r="AT14" s="10" t="n">
        <v>43896.0625</v>
      </c>
      <c r="AU14" s="10" t="n">
        <v>44832.01171875</v>
      </c>
      <c r="AV14" s="10" t="n">
        <v>40760.62890625</v>
      </c>
      <c r="AW14" s="10" t="n">
        <v>38046.37109375</v>
      </c>
      <c r="AX14" s="10" t="n">
        <v>37204.015625</v>
      </c>
      <c r="AY14" s="10" t="n">
        <v>37297.61328125</v>
      </c>
      <c r="AZ14" s="10" t="n">
        <v>36548.8515625</v>
      </c>
      <c r="BA14" s="10" t="n">
        <v>38186.765625</v>
      </c>
      <c r="BB14" s="10" t="n">
        <v>37718.7890625</v>
      </c>
      <c r="BC14" s="10" t="n">
        <v>38139.96875</v>
      </c>
      <c r="BD14" s="10" t="n">
        <v>37531.6015625</v>
      </c>
      <c r="BE14" s="10" t="n">
        <v>39684.28515625</v>
      </c>
      <c r="BF14" s="10" t="n">
        <v>40199.05859375</v>
      </c>
      <c r="BG14" s="10" t="n">
        <v>40245.85546875</v>
      </c>
      <c r="BH14" s="10" t="n">
        <v>39309.90625</v>
      </c>
      <c r="BI14" s="12">
        <f>MIN(E14:BH14)</f>
        <v/>
      </c>
      <c r="BJ14" s="12">
        <f>MAX(E14:BH14)</f>
        <v/>
      </c>
      <c r="BK14" s="12">
        <f>AVERAGE(E14:BH14)</f>
        <v/>
      </c>
    </row>
    <row r="15" ht="19" customHeight="1">
      <c r="A15" s="68" t="n">
        <v>14</v>
      </c>
      <c r="B15" s="8" t="inlineStr">
        <is>
          <t>ACB</t>
        </is>
      </c>
      <c r="C15" s="9" t="inlineStr">
        <is>
          <t>VN30 Index (Nhóm Trụ Cột)</t>
        </is>
      </c>
      <c r="D15" s="68" t="inlineStr">
        <is>
          <t>HOSE</t>
        </is>
      </c>
      <c r="E15" s="10" t="n">
        <v>18584.0703125</v>
      </c>
      <c r="F15" s="10" t="n">
        <v>19661.408203125</v>
      </c>
      <c r="G15" s="10" t="n">
        <v>22610.619140625</v>
      </c>
      <c r="H15" s="10" t="n">
        <v>18849.556640625</v>
      </c>
      <c r="I15" s="10" t="n">
        <v>18584.0703125</v>
      </c>
      <c r="J15" s="10" t="n">
        <v>18628.318359375</v>
      </c>
      <c r="K15" s="10" t="n">
        <v>18849.556640625</v>
      </c>
      <c r="L15" s="10" t="n">
        <v>18761.0625</v>
      </c>
      <c r="M15" s="10" t="n">
        <v>18938.052734375</v>
      </c>
      <c r="N15" s="10" t="n">
        <v>19955.751953125</v>
      </c>
      <c r="O15" s="10" t="n">
        <v>19867.255859375</v>
      </c>
      <c r="P15" s="10" t="n">
        <v>20530.97265625</v>
      </c>
      <c r="Q15" s="10" t="n">
        <v>20353.982421875</v>
      </c>
      <c r="R15" s="10" t="n">
        <v>21592.919921875</v>
      </c>
      <c r="S15" s="10" t="n">
        <v>23185.83984375</v>
      </c>
      <c r="T15" s="10" t="n">
        <v>26061.947265625</v>
      </c>
      <c r="U15" s="10" t="n">
        <v>24380.53125</v>
      </c>
      <c r="V15" s="10" t="n">
        <v>24469.02734375</v>
      </c>
      <c r="W15" s="10" t="n">
        <v>23185.83984375</v>
      </c>
      <c r="X15" s="10" t="n">
        <v>22610.619140625</v>
      </c>
      <c r="Y15" s="10" t="n">
        <v>22699.115234375</v>
      </c>
      <c r="Z15" s="10" t="n">
        <v>22787.611328125</v>
      </c>
      <c r="AA15" s="10" t="n">
        <v>23849.556640625</v>
      </c>
      <c r="AB15" s="10" t="n">
        <v>23274.3359375</v>
      </c>
      <c r="AC15" s="10" t="n">
        <v>22079.646484375</v>
      </c>
      <c r="AD15" s="10" t="n">
        <v>22212.388671875</v>
      </c>
      <c r="AE15" s="10" t="n">
        <v>22035.3984375</v>
      </c>
      <c r="AF15" s="10" t="n">
        <v>22079.646484375</v>
      </c>
      <c r="AG15" s="10" t="n">
        <v>21858.40625</v>
      </c>
      <c r="AH15" s="10" t="n">
        <v>21460.177734375</v>
      </c>
      <c r="AI15" s="10" t="n">
        <v>21548.671875</v>
      </c>
      <c r="AJ15" s="10" t="n">
        <v>20796.4609375</v>
      </c>
      <c r="AK15" s="10" t="n">
        <v>21150.443359375</v>
      </c>
      <c r="AL15" s="10" t="n">
        <v>21150.443359375</v>
      </c>
      <c r="AM15" s="10" t="n">
        <v>21238.9375</v>
      </c>
      <c r="AN15" s="10" t="n">
        <v>21725.6640625</v>
      </c>
      <c r="AO15" s="10" t="n">
        <v>21991.150390625</v>
      </c>
      <c r="AP15" s="10" t="n">
        <v>22168.140625</v>
      </c>
      <c r="AQ15" s="10" t="n">
        <v>21327.43359375</v>
      </c>
      <c r="AR15" s="10" t="n">
        <v>20353.982421875</v>
      </c>
      <c r="AS15" s="10" t="n">
        <v>21106.1953125</v>
      </c>
      <c r="AT15" s="10" t="n">
        <v>21106.1953125</v>
      </c>
      <c r="AU15" s="10" t="n">
        <v>21725.6640625</v>
      </c>
      <c r="AV15" s="10" t="n">
        <v>20619.46875</v>
      </c>
      <c r="AW15" s="10" t="n">
        <v>20752.212890625</v>
      </c>
      <c r="AX15" s="10" t="n">
        <v>20353.982421875</v>
      </c>
      <c r="AY15" s="10" t="n">
        <v>21061.947265625</v>
      </c>
      <c r="AZ15" s="10" t="n">
        <v>20796.4609375</v>
      </c>
      <c r="BA15" s="10" t="n">
        <v>21106.1953125</v>
      </c>
      <c r="BB15" s="10" t="n">
        <v>21017.69921875</v>
      </c>
      <c r="BC15" s="10" t="n">
        <v>20707.96484375</v>
      </c>
      <c r="BD15" s="10" t="n">
        <v>20796.4609375</v>
      </c>
      <c r="BE15" s="10" t="n">
        <v>20221.23828125</v>
      </c>
      <c r="BF15" s="10" t="n">
        <v>20619.46875</v>
      </c>
      <c r="BG15" s="10" t="n">
        <v>20221.23828125</v>
      </c>
      <c r="BH15" s="10" t="n">
        <v>22035.3984375</v>
      </c>
      <c r="BI15" s="12">
        <f>MIN(E15:BH15)</f>
        <v/>
      </c>
      <c r="BJ15" s="12">
        <f>MAX(E15:BH15)</f>
        <v/>
      </c>
      <c r="BK15" s="12">
        <f>AVERAGE(E15:BH15)</f>
        <v/>
      </c>
    </row>
    <row r="16" ht="19" customHeight="1">
      <c r="A16" s="68" t="n">
        <v>15</v>
      </c>
      <c r="B16" s="8" t="inlineStr">
        <is>
          <t>MBB</t>
        </is>
      </c>
      <c r="C16" s="9" t="inlineStr">
        <is>
          <t>VN30 Index (Nhóm Trụ Cột)</t>
        </is>
      </c>
      <c r="D16" s="68" t="inlineStr">
        <is>
          <t>HOSE</t>
        </is>
      </c>
      <c r="E16" s="10" t="n">
        <v>15513.833984375</v>
      </c>
      <c r="F16" s="10" t="n">
        <v>16501.9765625</v>
      </c>
      <c r="G16" s="10" t="n">
        <v>16238.4716796875</v>
      </c>
      <c r="H16" s="10" t="n">
        <v>16139.6572265625</v>
      </c>
      <c r="I16" s="10" t="n">
        <v>16073.78125</v>
      </c>
      <c r="J16" s="10" t="n">
        <v>16271.41015625</v>
      </c>
      <c r="K16" s="10" t="n">
        <v>16534.9140625</v>
      </c>
      <c r="L16" s="10" t="n">
        <v>17061.923828125</v>
      </c>
      <c r="M16" s="10" t="n">
        <v>17094.861328125</v>
      </c>
      <c r="N16" s="10" t="n">
        <v>17424.2421875</v>
      </c>
      <c r="O16" s="10" t="n">
        <v>17621.87109375</v>
      </c>
      <c r="P16" s="10" t="n">
        <v>18708.828125</v>
      </c>
      <c r="Q16" s="10" t="n">
        <v>18083.00390625</v>
      </c>
      <c r="R16" s="10" t="n">
        <v>20256.91796875</v>
      </c>
      <c r="S16" s="10" t="n">
        <v>24000</v>
      </c>
      <c r="T16" s="10" t="n">
        <v>24521.73828125</v>
      </c>
      <c r="U16" s="10" t="n">
        <v>23652.173828125</v>
      </c>
      <c r="V16" s="10" t="n">
        <v>24565.216796875</v>
      </c>
      <c r="W16" s="10" t="n">
        <v>23217.390625</v>
      </c>
      <c r="X16" s="10" t="n">
        <v>23304.34765625</v>
      </c>
      <c r="Y16" s="10" t="n">
        <v>23086.95703125</v>
      </c>
      <c r="Z16" s="10" t="n">
        <v>23304.34765625</v>
      </c>
      <c r="AA16" s="10" t="n">
        <v>23782.609375</v>
      </c>
      <c r="AB16" s="10" t="n">
        <v>23652.173828125</v>
      </c>
      <c r="AC16" s="10" t="n">
        <v>21913.04296875</v>
      </c>
      <c r="AD16" s="10" t="n">
        <v>20826.087890625</v>
      </c>
      <c r="AE16" s="10" t="n">
        <v>20260.869140625</v>
      </c>
      <c r="AF16" s="10" t="n">
        <v>20434.783203125</v>
      </c>
      <c r="AG16" s="10" t="n">
        <v>20173.912109375</v>
      </c>
      <c r="AH16" s="10" t="n">
        <v>20217.390625</v>
      </c>
      <c r="AI16" s="10" t="n">
        <v>21869.564453125</v>
      </c>
      <c r="AJ16" s="10" t="n">
        <v>20869.564453125</v>
      </c>
      <c r="AK16" s="10" t="n">
        <v>21478.26171875</v>
      </c>
      <c r="AL16" s="10" t="n">
        <v>21608.6953125</v>
      </c>
      <c r="AM16" s="10" t="n">
        <v>22000</v>
      </c>
      <c r="AN16" s="10" t="n">
        <v>23739.130859375</v>
      </c>
      <c r="AO16" s="10" t="n">
        <v>23521.73828125</v>
      </c>
      <c r="AP16" s="10" t="n">
        <v>23434.783203125</v>
      </c>
      <c r="AQ16" s="10" t="n">
        <v>23652.173828125</v>
      </c>
      <c r="AR16" s="10" t="n">
        <v>23782.609375</v>
      </c>
      <c r="AS16" s="10" t="n">
        <v>24608.6953125</v>
      </c>
      <c r="AT16" s="10" t="n">
        <v>24608.6953125</v>
      </c>
      <c r="AU16" s="10" t="n">
        <v>24782.609375</v>
      </c>
      <c r="AV16" s="10" t="n">
        <v>23217.390625</v>
      </c>
      <c r="AW16" s="10" t="n">
        <v>22739.130859375</v>
      </c>
      <c r="AX16" s="10" t="n">
        <v>22565.216796875</v>
      </c>
      <c r="AY16" s="10" t="n">
        <v>22739.130859375</v>
      </c>
      <c r="AZ16" s="10" t="n">
        <v>22565.216796875</v>
      </c>
      <c r="BA16" s="10" t="n">
        <v>23217.390625</v>
      </c>
      <c r="BB16" s="10" t="n">
        <v>23000</v>
      </c>
      <c r="BC16" s="10" t="n">
        <v>22782.609375</v>
      </c>
      <c r="BD16" s="10" t="n">
        <v>22652.173828125</v>
      </c>
      <c r="BE16" s="10" t="n">
        <v>22739.130859375</v>
      </c>
      <c r="BF16" s="10" t="n">
        <v>22304.34765625</v>
      </c>
      <c r="BG16" s="10" t="n">
        <v>21434.783203125</v>
      </c>
      <c r="BH16" s="10" t="n">
        <v>21739.130859375</v>
      </c>
      <c r="BI16" s="12">
        <f>MIN(E16:BH16)</f>
        <v/>
      </c>
      <c r="BJ16" s="12">
        <f>MAX(E16:BH16)</f>
        <v/>
      </c>
      <c r="BK16" s="12">
        <f>AVERAGE(E16:BH16)</f>
        <v/>
      </c>
    </row>
    <row r="17" ht="19" customHeight="1">
      <c r="A17" s="68" t="n">
        <v>16</v>
      </c>
      <c r="B17" s="8" t="inlineStr">
        <is>
          <t>CTG</t>
        </is>
      </c>
      <c r="C17" s="9" t="inlineStr">
        <is>
          <t>VN30 Index (Nhóm Trụ Cột)</t>
        </is>
      </c>
      <c r="D17" s="68" t="inlineStr">
        <is>
          <t>HOSE</t>
        </is>
      </c>
      <c r="E17" s="10" t="n">
        <v>25961.619140625</v>
      </c>
      <c r="F17" s="10" t="n">
        <v>27482.673828125</v>
      </c>
      <c r="G17" s="10" t="n">
        <v>26860.423828125</v>
      </c>
      <c r="H17" s="10" t="n">
        <v>26894.994140625</v>
      </c>
      <c r="I17" s="10" t="n">
        <v>26653.0078125</v>
      </c>
      <c r="J17" s="10" t="n">
        <v>26618.4375</v>
      </c>
      <c r="K17" s="10" t="n">
        <v>28139.4921875</v>
      </c>
      <c r="L17" s="10" t="n">
        <v>28969.158203125</v>
      </c>
      <c r="M17" s="10" t="n">
        <v>29383.990234375</v>
      </c>
      <c r="N17" s="10" t="n">
        <v>31112.4609375</v>
      </c>
      <c r="O17" s="10" t="n">
        <v>31112.4609375</v>
      </c>
      <c r="P17" s="10" t="n">
        <v>31596.431640625</v>
      </c>
      <c r="Q17" s="10" t="n">
        <v>31734.708984375</v>
      </c>
      <c r="R17" s="10" t="n">
        <v>33082.91796875</v>
      </c>
      <c r="S17" s="10" t="n">
        <v>34707.6796875</v>
      </c>
      <c r="T17" s="10" t="n">
        <v>35813.8984375</v>
      </c>
      <c r="U17" s="10" t="n">
        <v>35675.62109375</v>
      </c>
      <c r="V17" s="10" t="n">
        <v>35260.7890625</v>
      </c>
      <c r="W17" s="10" t="n">
        <v>34984.234375</v>
      </c>
      <c r="X17" s="10" t="n">
        <v>35399.06640625</v>
      </c>
      <c r="Y17" s="10" t="n">
        <v>34776.81640625</v>
      </c>
      <c r="Z17" s="10" t="n">
        <v>35606.484375</v>
      </c>
      <c r="AA17" s="10" t="n">
        <v>38026.33984375</v>
      </c>
      <c r="AB17" s="10" t="n">
        <v>37196.67578125</v>
      </c>
      <c r="AC17" s="10" t="n">
        <v>34361.984375</v>
      </c>
      <c r="AD17" s="10" t="n">
        <v>34016.2890625</v>
      </c>
      <c r="AE17" s="10" t="n">
        <v>33878.01171875</v>
      </c>
      <c r="AF17" s="10" t="n">
        <v>33566.88671875</v>
      </c>
      <c r="AG17" s="10" t="n">
        <v>33947.15234375</v>
      </c>
      <c r="AH17" s="10" t="n">
        <v>33878.01171875</v>
      </c>
      <c r="AI17" s="10" t="n">
        <v>35606.484375</v>
      </c>
      <c r="AJ17" s="10" t="n">
        <v>34223.70703125</v>
      </c>
      <c r="AK17" s="10" t="n">
        <v>34450</v>
      </c>
      <c r="AL17" s="10" t="n">
        <v>35200</v>
      </c>
      <c r="AM17" s="10" t="n">
        <v>35750</v>
      </c>
      <c r="AN17" s="10" t="n">
        <v>40750</v>
      </c>
      <c r="AO17" s="10" t="n">
        <v>39600</v>
      </c>
      <c r="AP17" s="10" t="n">
        <v>39000</v>
      </c>
      <c r="AQ17" s="10" t="n">
        <v>38750</v>
      </c>
      <c r="AR17" s="10" t="n">
        <v>37400</v>
      </c>
      <c r="AS17" s="10" t="n">
        <v>38600</v>
      </c>
      <c r="AT17" s="10" t="n">
        <v>38600</v>
      </c>
      <c r="AU17" s="10" t="n">
        <v>38250</v>
      </c>
      <c r="AV17" s="10" t="n">
        <v>35650</v>
      </c>
      <c r="AW17" s="10" t="n">
        <v>34000</v>
      </c>
      <c r="AX17" s="10" t="n">
        <v>33600</v>
      </c>
      <c r="AY17" s="10" t="n">
        <v>34800</v>
      </c>
      <c r="AZ17" s="10" t="n">
        <v>33800</v>
      </c>
      <c r="BA17" s="10" t="n">
        <v>35000</v>
      </c>
      <c r="BB17" s="10" t="n">
        <v>34850</v>
      </c>
      <c r="BC17" s="10" t="n">
        <v>35000</v>
      </c>
      <c r="BD17" s="10" t="n">
        <v>34950</v>
      </c>
      <c r="BE17" s="10" t="n">
        <v>36200</v>
      </c>
      <c r="BF17" s="10" t="n">
        <v>35800</v>
      </c>
      <c r="BG17" s="10" t="n">
        <v>34800</v>
      </c>
      <c r="BH17" s="10" t="n">
        <v>34800</v>
      </c>
      <c r="BI17" s="12">
        <f>MIN(E17:BH17)</f>
        <v/>
      </c>
      <c r="BJ17" s="12">
        <f>MAX(E17:BH17)</f>
        <v/>
      </c>
      <c r="BK17" s="12">
        <f>AVERAGE(E17:BH17)</f>
        <v/>
      </c>
    </row>
    <row r="18" ht="19" customHeight="1">
      <c r="A18" s="68" t="n">
        <v>17</v>
      </c>
      <c r="B18" s="8" t="inlineStr">
        <is>
          <t>VCB</t>
        </is>
      </c>
      <c r="C18" s="9" t="inlineStr">
        <is>
          <t>VN30 Index (Nhóm Trụ Cột)</t>
        </is>
      </c>
      <c r="D18" s="68" t="inlineStr">
        <is>
          <t>HOSE</t>
        </is>
      </c>
      <c r="E18" s="10" t="n">
        <v>57100</v>
      </c>
      <c r="F18" s="10" t="n">
        <v>58700</v>
      </c>
      <c r="G18" s="10" t="n">
        <v>56900</v>
      </c>
      <c r="H18" s="10" t="n">
        <v>56700</v>
      </c>
      <c r="I18" s="10" t="n">
        <v>56300</v>
      </c>
      <c r="J18" s="10" t="n">
        <v>56000</v>
      </c>
      <c r="K18" s="10" t="n">
        <v>56600</v>
      </c>
      <c r="L18" s="10" t="n">
        <v>56400</v>
      </c>
      <c r="M18" s="10" t="n">
        <v>57900</v>
      </c>
      <c r="N18" s="10" t="n">
        <v>61400</v>
      </c>
      <c r="O18" s="10" t="n">
        <v>62200</v>
      </c>
      <c r="P18" s="10" t="n">
        <v>62100</v>
      </c>
      <c r="Q18" s="10" t="n">
        <v>60200</v>
      </c>
      <c r="R18" s="10" t="n">
        <v>61700</v>
      </c>
      <c r="S18" s="10" t="n">
        <v>65200</v>
      </c>
      <c r="T18" s="10" t="n">
        <v>64200</v>
      </c>
      <c r="U18" s="10" t="n">
        <v>69000</v>
      </c>
      <c r="V18" s="10" t="n">
        <v>68900</v>
      </c>
      <c r="W18" s="10" t="n">
        <v>65700</v>
      </c>
      <c r="X18" s="10" t="n">
        <v>63900</v>
      </c>
      <c r="Y18" s="10" t="n">
        <v>63000</v>
      </c>
      <c r="Z18" s="10" t="n">
        <v>62100</v>
      </c>
      <c r="AA18" s="10" t="n">
        <v>63800</v>
      </c>
      <c r="AB18" s="10" t="n">
        <v>62900</v>
      </c>
      <c r="AC18" s="10" t="n">
        <v>59800</v>
      </c>
      <c r="AD18" s="10" t="n">
        <v>60600</v>
      </c>
      <c r="AE18" s="10" t="n">
        <v>59300</v>
      </c>
      <c r="AF18" s="10" t="n">
        <v>60000</v>
      </c>
      <c r="AG18" s="10" t="n">
        <v>59000</v>
      </c>
      <c r="AH18" s="10" t="n">
        <v>57400</v>
      </c>
      <c r="AI18" s="10" t="n">
        <v>58300</v>
      </c>
      <c r="AJ18" s="10" t="n">
        <v>56800</v>
      </c>
      <c r="AK18" s="10" t="n">
        <v>57500</v>
      </c>
      <c r="AL18" s="10" t="n">
        <v>57100</v>
      </c>
      <c r="AM18" s="10" t="n">
        <v>57500</v>
      </c>
      <c r="AN18" s="10" t="n">
        <v>68000</v>
      </c>
      <c r="AO18" s="10" t="n">
        <v>73000</v>
      </c>
      <c r="AP18" s="10" t="n">
        <v>68600</v>
      </c>
      <c r="AQ18" s="10" t="n">
        <v>70500</v>
      </c>
      <c r="AR18" s="10" t="n">
        <v>65100</v>
      </c>
      <c r="AS18" s="10" t="n">
        <v>64400</v>
      </c>
      <c r="AT18" s="10" t="n">
        <v>64400</v>
      </c>
      <c r="AU18" s="10" t="n">
        <v>64900</v>
      </c>
      <c r="AV18" s="10" t="n">
        <v>61600</v>
      </c>
      <c r="AW18" s="10" t="n">
        <v>59000</v>
      </c>
      <c r="AX18" s="10" t="n">
        <v>58000</v>
      </c>
      <c r="AY18" s="10" t="n">
        <v>58800</v>
      </c>
      <c r="AZ18" s="10" t="n">
        <v>57700</v>
      </c>
      <c r="BA18" s="10" t="n">
        <v>59800</v>
      </c>
      <c r="BB18" s="10" t="n">
        <v>59500</v>
      </c>
      <c r="BC18" s="10" t="n">
        <v>60600</v>
      </c>
      <c r="BD18" s="10" t="n">
        <v>59800</v>
      </c>
      <c r="BE18" s="10" t="n">
        <v>60700</v>
      </c>
      <c r="BF18" s="10" t="n">
        <v>60700</v>
      </c>
      <c r="BG18" s="10" t="n">
        <v>63500</v>
      </c>
      <c r="BH18" s="10" t="n">
        <v>62000</v>
      </c>
      <c r="BI18" s="12">
        <f>MIN(E18:BH18)</f>
        <v/>
      </c>
      <c r="BJ18" s="12">
        <f>MAX(E18:BH18)</f>
        <v/>
      </c>
      <c r="BK18" s="12">
        <f>AVERAGE(E18:BH18)</f>
        <v/>
      </c>
    </row>
    <row r="19" ht="19" customHeight="1">
      <c r="A19" s="68" t="n">
        <v>18</v>
      </c>
      <c r="B19" s="8" t="inlineStr">
        <is>
          <t>HPG</t>
        </is>
      </c>
      <c r="C19" s="9" t="inlineStr">
        <is>
          <t>VN30 Index (Nhóm Trụ Cột)</t>
        </is>
      </c>
      <c r="D19" s="68" t="inlineStr">
        <is>
          <t>HOSE</t>
        </is>
      </c>
      <c r="E19" s="10" t="n">
        <v>19469.697265625</v>
      </c>
      <c r="F19" s="10" t="n">
        <v>19810.60546875</v>
      </c>
      <c r="G19" s="10" t="n">
        <v>19431.818359375</v>
      </c>
      <c r="H19" s="10" t="n">
        <v>19356.060546875</v>
      </c>
      <c r="I19" s="10" t="n">
        <v>19507.576171875</v>
      </c>
      <c r="J19" s="10" t="n">
        <v>20303.03125</v>
      </c>
      <c r="K19" s="10" t="n">
        <v>20378.787109375</v>
      </c>
      <c r="L19" s="10" t="n">
        <v>20727.2734375</v>
      </c>
      <c r="M19" s="10" t="n">
        <v>21000</v>
      </c>
      <c r="N19" s="10" t="n">
        <v>22863.63671875</v>
      </c>
      <c r="O19" s="10" t="n">
        <v>23636.36328125</v>
      </c>
      <c r="P19" s="10" t="n">
        <v>23636.36328125</v>
      </c>
      <c r="Q19" s="10" t="n">
        <v>22681.818359375</v>
      </c>
      <c r="R19" s="10" t="n">
        <v>25909.091796875</v>
      </c>
      <c r="S19" s="10" t="n">
        <v>25636.36328125</v>
      </c>
      <c r="T19" s="10" t="n">
        <v>24909.091796875</v>
      </c>
      <c r="U19" s="10" t="n">
        <v>24636.36328125</v>
      </c>
      <c r="V19" s="10" t="n">
        <v>27136.36328125</v>
      </c>
      <c r="W19" s="10" t="n">
        <v>26500</v>
      </c>
      <c r="X19" s="10" t="n">
        <v>26500</v>
      </c>
      <c r="Y19" s="10" t="n">
        <v>26181.818359375</v>
      </c>
      <c r="Z19" s="10" t="n">
        <v>25545.455078125</v>
      </c>
      <c r="AA19" s="10" t="n">
        <v>26318.181640625</v>
      </c>
      <c r="AB19" s="10" t="n">
        <v>25681.818359375</v>
      </c>
      <c r="AC19" s="10" t="n">
        <v>24090.908203125</v>
      </c>
      <c r="AD19" s="10" t="n">
        <v>24454.544921875</v>
      </c>
      <c r="AE19" s="10" t="n">
        <v>23681.818359375</v>
      </c>
      <c r="AF19" s="10" t="n">
        <v>24454.544921875</v>
      </c>
      <c r="AG19" s="10" t="n">
        <v>24909.091796875</v>
      </c>
      <c r="AH19" s="10" t="n">
        <v>24136.36328125</v>
      </c>
      <c r="AI19" s="10" t="n">
        <v>24545.455078125</v>
      </c>
      <c r="AJ19" s="10" t="n">
        <v>23636.36328125</v>
      </c>
      <c r="AK19" s="10" t="n">
        <v>24272.7265625</v>
      </c>
      <c r="AL19" s="10" t="n">
        <v>24454.544921875</v>
      </c>
      <c r="AM19" s="10" t="n">
        <v>24000</v>
      </c>
      <c r="AN19" s="10" t="n">
        <v>23818.181640625</v>
      </c>
      <c r="AO19" s="10" t="n">
        <v>25090.908203125</v>
      </c>
      <c r="AP19" s="10" t="n">
        <v>24318.181640625</v>
      </c>
      <c r="AQ19" s="10" t="n">
        <v>24363.63671875</v>
      </c>
      <c r="AR19" s="10" t="n">
        <v>24363.63671875</v>
      </c>
      <c r="AS19" s="10" t="n">
        <v>24409.091796875</v>
      </c>
      <c r="AT19" s="10" t="n">
        <v>24409.091796875</v>
      </c>
      <c r="AU19" s="10" t="n">
        <v>26181.818359375</v>
      </c>
      <c r="AV19" s="10" t="n">
        <v>24772.7265625</v>
      </c>
      <c r="AW19" s="10" t="n">
        <v>24227.2734375</v>
      </c>
      <c r="AX19" s="10" t="n">
        <v>23545.455078125</v>
      </c>
      <c r="AY19" s="10" t="n">
        <v>24090.908203125</v>
      </c>
      <c r="AZ19" s="10" t="n">
        <v>24227.2734375</v>
      </c>
      <c r="BA19" s="10" t="n">
        <v>25454.544921875</v>
      </c>
      <c r="BB19" s="10" t="n">
        <v>25454.544921875</v>
      </c>
      <c r="BC19" s="10" t="n">
        <v>25363.63671875</v>
      </c>
      <c r="BD19" s="10" t="n">
        <v>25227.2734375</v>
      </c>
      <c r="BE19" s="10" t="n">
        <v>25318.181640625</v>
      </c>
      <c r="BF19" s="10" t="n">
        <v>24136.36328125</v>
      </c>
      <c r="BG19" s="10" t="n">
        <v>23954.544921875</v>
      </c>
      <c r="BH19" s="10" t="n">
        <v>24000</v>
      </c>
      <c r="BI19" s="12">
        <f>MIN(E19:BH19)</f>
        <v/>
      </c>
      <c r="BJ19" s="12">
        <f>MAX(E19:BH19)</f>
        <v/>
      </c>
      <c r="BK19" s="12">
        <f>AVERAGE(E19:BH19)</f>
        <v/>
      </c>
    </row>
    <row r="20" ht="19" customHeight="1">
      <c r="A20" s="68" t="n">
        <v>19</v>
      </c>
      <c r="B20" s="8" t="inlineStr">
        <is>
          <t>SAB</t>
        </is>
      </c>
      <c r="C20" s="9" t="inlineStr">
        <is>
          <t>VN30 Index (Nhóm Trụ Cột)</t>
        </is>
      </c>
      <c r="D20" s="68" t="inlineStr">
        <is>
          <t>HOSE</t>
        </is>
      </c>
      <c r="E20" s="10" t="n">
        <v>48550</v>
      </c>
      <c r="F20" s="10" t="n">
        <v>50300</v>
      </c>
      <c r="G20" s="10" t="n">
        <v>49650</v>
      </c>
      <c r="H20" s="10" t="n">
        <v>49250</v>
      </c>
      <c r="I20" s="10" t="n">
        <v>49500</v>
      </c>
      <c r="J20" s="10" t="n">
        <v>49450</v>
      </c>
      <c r="K20" s="10" t="n">
        <v>49450</v>
      </c>
      <c r="L20" s="10" t="n">
        <v>50500</v>
      </c>
      <c r="M20" s="10" t="n">
        <v>46250</v>
      </c>
      <c r="N20" s="10" t="n">
        <v>48100</v>
      </c>
      <c r="O20" s="10" t="n">
        <v>48400</v>
      </c>
      <c r="P20" s="10" t="n">
        <v>49000</v>
      </c>
      <c r="Q20" s="10" t="n">
        <v>47650</v>
      </c>
      <c r="R20" s="10" t="n">
        <v>47700</v>
      </c>
      <c r="S20" s="10" t="n">
        <v>47900</v>
      </c>
      <c r="T20" s="10" t="n">
        <v>46600</v>
      </c>
      <c r="U20" s="10" t="n">
        <v>46550</v>
      </c>
      <c r="V20" s="10" t="n">
        <v>47100</v>
      </c>
      <c r="W20" s="10" t="n">
        <v>46400</v>
      </c>
      <c r="X20" s="10" t="n">
        <v>46800</v>
      </c>
      <c r="Y20" s="10" t="n">
        <v>45850</v>
      </c>
      <c r="Z20" s="10" t="n">
        <v>45400</v>
      </c>
      <c r="AA20" s="10" t="n">
        <v>45600</v>
      </c>
      <c r="AB20" s="10" t="n">
        <v>45200</v>
      </c>
      <c r="AC20" s="10" t="n">
        <v>45450</v>
      </c>
      <c r="AD20" s="10" t="n">
        <v>45700</v>
      </c>
      <c r="AE20" s="10" t="n">
        <v>46100</v>
      </c>
      <c r="AF20" s="10" t="n">
        <v>47100</v>
      </c>
      <c r="AG20" s="10" t="n">
        <v>46700</v>
      </c>
      <c r="AH20" s="10" t="n">
        <v>46400</v>
      </c>
      <c r="AI20" s="10" t="n">
        <v>49800</v>
      </c>
      <c r="AJ20" s="10" t="n">
        <v>50000</v>
      </c>
      <c r="AK20" s="10" t="n">
        <v>49700</v>
      </c>
      <c r="AL20" s="10" t="n">
        <v>48750</v>
      </c>
      <c r="AM20" s="10" t="n">
        <v>49000</v>
      </c>
      <c r="AN20" s="10" t="n">
        <v>48950</v>
      </c>
      <c r="AO20" s="10" t="n">
        <v>52500</v>
      </c>
      <c r="AP20" s="10" t="n">
        <v>49300</v>
      </c>
      <c r="AQ20" s="10" t="n">
        <v>49900</v>
      </c>
      <c r="AR20" s="10" t="n">
        <v>48750</v>
      </c>
      <c r="AS20" s="10" t="n">
        <v>48500</v>
      </c>
      <c r="AT20" s="10" t="n">
        <v>48500</v>
      </c>
      <c r="AU20" s="10" t="n">
        <v>48400</v>
      </c>
      <c r="AV20" s="10" t="n">
        <v>45600</v>
      </c>
      <c r="AW20" s="10" t="n">
        <v>44400</v>
      </c>
      <c r="AX20" s="10" t="n">
        <v>42600</v>
      </c>
      <c r="AY20" s="10" t="n">
        <v>44150</v>
      </c>
      <c r="AZ20" s="10" t="n">
        <v>44100</v>
      </c>
      <c r="BA20" s="10" t="n">
        <v>45800</v>
      </c>
      <c r="BB20" s="10" t="n">
        <v>45500</v>
      </c>
      <c r="BC20" s="10" t="n">
        <v>47000</v>
      </c>
      <c r="BD20" s="10" t="n">
        <v>47500</v>
      </c>
      <c r="BE20" s="10" t="n">
        <v>46250</v>
      </c>
      <c r="BF20" s="10" t="n">
        <v>48550</v>
      </c>
      <c r="BG20" s="10" t="n">
        <v>48100</v>
      </c>
      <c r="BH20" s="10" t="n">
        <v>46950</v>
      </c>
      <c r="BI20" s="12">
        <f>MIN(E20:BH20)</f>
        <v/>
      </c>
      <c r="BJ20" s="12">
        <f>MAX(E20:BH20)</f>
        <v/>
      </c>
      <c r="BK20" s="12">
        <f>AVERAGE(E20:BH20)</f>
        <v/>
      </c>
    </row>
    <row r="21" ht="19" customHeight="1">
      <c r="A21" s="68" t="n">
        <v>20</v>
      </c>
      <c r="B21" s="8" t="inlineStr">
        <is>
          <t>MWG</t>
        </is>
      </c>
      <c r="C21" s="9" t="inlineStr">
        <is>
          <t>VN30 Index (Nhóm Trụ Cột)</t>
        </is>
      </c>
      <c r="D21" s="68" t="inlineStr">
        <is>
          <t>HOSE</t>
        </is>
      </c>
      <c r="E21" s="10" t="n">
        <v>60300</v>
      </c>
      <c r="F21" s="10" t="n">
        <v>64300</v>
      </c>
      <c r="G21" s="10" t="n">
        <v>64300</v>
      </c>
      <c r="H21" s="10" t="n">
        <v>64300</v>
      </c>
      <c r="I21" s="10" t="n">
        <v>61700</v>
      </c>
      <c r="J21" s="10" t="n">
        <v>63500</v>
      </c>
      <c r="K21" s="10" t="n">
        <v>64000</v>
      </c>
      <c r="L21" s="10" t="n">
        <v>64500</v>
      </c>
      <c r="M21" s="10" t="n">
        <v>65400</v>
      </c>
      <c r="N21" s="10" t="n">
        <v>68000</v>
      </c>
      <c r="O21" s="10" t="n">
        <v>70500</v>
      </c>
      <c r="P21" s="10" t="n">
        <v>69500</v>
      </c>
      <c r="Q21" s="10" t="n">
        <v>65300</v>
      </c>
      <c r="R21" s="10" t="n">
        <v>72400</v>
      </c>
      <c r="S21" s="10" t="n">
        <v>71900</v>
      </c>
      <c r="T21" s="10" t="n">
        <v>71000</v>
      </c>
      <c r="U21" s="10" t="n">
        <v>77300</v>
      </c>
      <c r="V21" s="10" t="n">
        <v>77500</v>
      </c>
      <c r="W21" s="10" t="n">
        <v>78800</v>
      </c>
      <c r="X21" s="10" t="n">
        <v>78500</v>
      </c>
      <c r="Y21" s="10" t="n">
        <v>79000</v>
      </c>
      <c r="Z21" s="10" t="n">
        <v>77100</v>
      </c>
      <c r="AA21" s="10" t="n">
        <v>81500</v>
      </c>
      <c r="AB21" s="10" t="n">
        <v>84500</v>
      </c>
      <c r="AC21" s="10" t="n">
        <v>85700</v>
      </c>
      <c r="AD21" s="10" t="n">
        <v>83900</v>
      </c>
      <c r="AE21" s="10" t="n">
        <v>76500</v>
      </c>
      <c r="AF21" s="10" t="n">
        <v>81400</v>
      </c>
      <c r="AG21" s="10" t="n">
        <v>80000</v>
      </c>
      <c r="AH21" s="10" t="n">
        <v>79900</v>
      </c>
      <c r="AI21" s="10" t="n">
        <v>85100</v>
      </c>
      <c r="AJ21" s="10" t="n">
        <v>78500</v>
      </c>
      <c r="AK21" s="10" t="n">
        <v>82900</v>
      </c>
      <c r="AL21" s="10" t="n">
        <v>87000</v>
      </c>
      <c r="AM21" s="10" t="n">
        <v>88400</v>
      </c>
      <c r="AN21" s="10" t="n">
        <v>86000</v>
      </c>
      <c r="AO21" s="10" t="n">
        <v>87000</v>
      </c>
      <c r="AP21" s="10" t="n">
        <v>85800</v>
      </c>
      <c r="AQ21" s="10" t="n">
        <v>92900</v>
      </c>
      <c r="AR21" s="10" t="n">
        <v>88400</v>
      </c>
      <c r="AS21" s="10" t="n">
        <v>92800</v>
      </c>
      <c r="AT21" s="10" t="n">
        <v>92800</v>
      </c>
      <c r="AU21" s="10" t="n">
        <v>93100</v>
      </c>
      <c r="AV21" s="10" t="n">
        <v>82700</v>
      </c>
      <c r="AW21" s="10" t="n">
        <v>82000</v>
      </c>
      <c r="AX21" s="10" t="n">
        <v>79700</v>
      </c>
      <c r="AY21" s="10" t="n">
        <v>81000</v>
      </c>
      <c r="AZ21" s="10" t="n">
        <v>79300</v>
      </c>
      <c r="BA21" s="10" t="n">
        <v>81500</v>
      </c>
      <c r="BB21" s="10" t="n">
        <v>86900</v>
      </c>
      <c r="BC21" s="10" t="n">
        <v>83500</v>
      </c>
      <c r="BD21" s="10" t="n">
        <v>84000</v>
      </c>
      <c r="BE21" s="10" t="n">
        <v>84600</v>
      </c>
      <c r="BF21" s="10" t="n">
        <v>82000</v>
      </c>
      <c r="BG21" s="10" t="n">
        <v>79400</v>
      </c>
      <c r="BH21" s="10" t="n">
        <v>76300</v>
      </c>
      <c r="BI21" s="12">
        <f>MIN(E21:BH21)</f>
        <v/>
      </c>
      <c r="BJ21" s="12">
        <f>MAX(E21:BH21)</f>
        <v/>
      </c>
      <c r="BK21" s="12">
        <f>AVERAGE(E21:BH21)</f>
        <v/>
      </c>
    </row>
    <row r="22" ht="19" customHeight="1">
      <c r="A22" s="68" t="n">
        <v>21</v>
      </c>
      <c r="B22" s="8" t="inlineStr">
        <is>
          <t>TPB</t>
        </is>
      </c>
      <c r="C22" s="9" t="inlineStr">
        <is>
          <t>VN30 Index (Nhóm Trụ Cột)</t>
        </is>
      </c>
      <c r="D22" s="68" t="inlineStr">
        <is>
          <t>HOSE</t>
        </is>
      </c>
      <c r="E22" s="10" t="n">
        <v>13380.9521484375</v>
      </c>
      <c r="F22" s="10" t="n">
        <v>13095.23828125</v>
      </c>
      <c r="G22" s="10" t="n">
        <v>12666.6669921875</v>
      </c>
      <c r="H22" s="10" t="n">
        <v>12761.904296875</v>
      </c>
      <c r="I22" s="10" t="n">
        <v>12523.8095703125</v>
      </c>
      <c r="J22" s="10" t="n">
        <v>12666.6669921875</v>
      </c>
      <c r="K22" s="10" t="n">
        <v>12761.904296875</v>
      </c>
      <c r="L22" s="10" t="n">
        <v>12714.2861328125</v>
      </c>
      <c r="M22" s="10" t="n">
        <v>13095.23828125</v>
      </c>
      <c r="N22" s="10" t="n">
        <v>14142.857421875</v>
      </c>
      <c r="O22" s="10" t="n">
        <v>14190.4765625</v>
      </c>
      <c r="P22" s="10" t="n">
        <v>14857.142578125</v>
      </c>
      <c r="Q22" s="10" t="n">
        <v>14952.380859375</v>
      </c>
      <c r="R22" s="10" t="n">
        <v>18523.80859375</v>
      </c>
      <c r="S22" s="10" t="n">
        <v>18857.142578125</v>
      </c>
      <c r="T22" s="10" t="n">
        <v>21000</v>
      </c>
      <c r="U22" s="10" t="n">
        <v>19809.5234375</v>
      </c>
      <c r="V22" s="10" t="n">
        <v>20476.19140625</v>
      </c>
      <c r="W22" s="10" t="n">
        <v>18714.28515625</v>
      </c>
      <c r="X22" s="10" t="n">
        <v>17952.380859375</v>
      </c>
      <c r="Y22" s="10" t="n">
        <v>18476.19140625</v>
      </c>
      <c r="Z22" s="10" t="n">
        <v>17904.76171875</v>
      </c>
      <c r="AA22" s="10" t="n">
        <v>19047.619140625</v>
      </c>
      <c r="AB22" s="10" t="n">
        <v>18809.5234375</v>
      </c>
      <c r="AC22" s="10" t="n">
        <v>16952.380859375</v>
      </c>
      <c r="AD22" s="10" t="n">
        <v>17150</v>
      </c>
      <c r="AE22" s="10" t="n">
        <v>16500</v>
      </c>
      <c r="AF22" s="10" t="n">
        <v>16950</v>
      </c>
      <c r="AG22" s="10" t="n">
        <v>17250</v>
      </c>
      <c r="AH22" s="10" t="n">
        <v>17300</v>
      </c>
      <c r="AI22" s="10" t="n">
        <v>17400</v>
      </c>
      <c r="AJ22" s="10" t="n">
        <v>16350</v>
      </c>
      <c r="AK22" s="10" t="n">
        <v>16850</v>
      </c>
      <c r="AL22" s="10" t="n">
        <v>16950</v>
      </c>
      <c r="AM22" s="10" t="n">
        <v>17100</v>
      </c>
      <c r="AN22" s="10" t="n">
        <v>17600</v>
      </c>
      <c r="AO22" s="10" t="n">
        <v>17400</v>
      </c>
      <c r="AP22" s="10" t="n">
        <v>17250</v>
      </c>
      <c r="AQ22" s="10" t="n">
        <v>17200</v>
      </c>
      <c r="AR22" s="10" t="n">
        <v>16800</v>
      </c>
      <c r="AS22" s="10" t="n">
        <v>17500</v>
      </c>
      <c r="AT22" s="10" t="n">
        <v>17500</v>
      </c>
      <c r="AU22" s="10" t="n">
        <v>18400</v>
      </c>
      <c r="AV22" s="10" t="n">
        <v>16850</v>
      </c>
      <c r="AW22" s="10" t="n">
        <v>16000</v>
      </c>
      <c r="AX22" s="10" t="n">
        <v>15800</v>
      </c>
      <c r="AY22" s="10" t="n">
        <v>16250</v>
      </c>
      <c r="AZ22" s="10" t="n">
        <v>16000</v>
      </c>
      <c r="BA22" s="10" t="n">
        <v>16300</v>
      </c>
      <c r="BB22" s="10" t="n">
        <v>16250</v>
      </c>
      <c r="BC22" s="10" t="n">
        <v>16300</v>
      </c>
      <c r="BD22" s="10" t="n">
        <v>16250</v>
      </c>
      <c r="BE22" s="10" t="n">
        <v>16000</v>
      </c>
      <c r="BF22" s="10" t="n">
        <v>15700</v>
      </c>
      <c r="BG22" s="10" t="n">
        <v>15550</v>
      </c>
      <c r="BH22" s="10" t="n">
        <v>15900</v>
      </c>
      <c r="BI22" s="12">
        <f>MIN(E22:BH22)</f>
        <v/>
      </c>
      <c r="BJ22" s="12">
        <f>MAX(E22:BH22)</f>
        <v/>
      </c>
      <c r="BK22" s="12">
        <f>AVERAGE(E22:BH22)</f>
        <v/>
      </c>
    </row>
    <row r="23" ht="19" customHeight="1">
      <c r="A23" s="68" t="n">
        <v>22</v>
      </c>
      <c r="B23" s="8" t="inlineStr">
        <is>
          <t>MSN</t>
        </is>
      </c>
      <c r="C23" s="9" t="inlineStr">
        <is>
          <t>VN30 Index (Nhóm Trụ Cột)</t>
        </is>
      </c>
      <c r="D23" s="68" t="inlineStr">
        <is>
          <t>HOSE</t>
        </is>
      </c>
      <c r="E23" s="10" t="n">
        <v>63000</v>
      </c>
      <c r="F23" s="10" t="n">
        <v>62800</v>
      </c>
      <c r="G23" s="10" t="n">
        <v>64000</v>
      </c>
      <c r="H23" s="10" t="n">
        <v>63400</v>
      </c>
      <c r="I23" s="10" t="n">
        <v>65800</v>
      </c>
      <c r="J23" s="10" t="n">
        <v>65800</v>
      </c>
      <c r="K23" s="10" t="n">
        <v>67500</v>
      </c>
      <c r="L23" s="10" t="n">
        <v>72000</v>
      </c>
      <c r="M23" s="10" t="n">
        <v>74500</v>
      </c>
      <c r="N23" s="10" t="n">
        <v>76900</v>
      </c>
      <c r="O23" s="10" t="n">
        <v>76200</v>
      </c>
      <c r="P23" s="10" t="n">
        <v>76000</v>
      </c>
      <c r="Q23" s="10" t="n">
        <v>72500</v>
      </c>
      <c r="R23" s="10" t="n">
        <v>76200</v>
      </c>
      <c r="S23" s="10" t="n">
        <v>84800</v>
      </c>
      <c r="T23" s="10" t="n">
        <v>84300</v>
      </c>
      <c r="U23" s="10" t="n">
        <v>83100</v>
      </c>
      <c r="V23" s="10" t="n">
        <v>84800</v>
      </c>
      <c r="W23" s="10" t="n">
        <v>82000</v>
      </c>
      <c r="X23" s="10" t="n">
        <v>84000</v>
      </c>
      <c r="Y23" s="10" t="n">
        <v>82200</v>
      </c>
      <c r="Z23" s="10" t="n">
        <v>81500</v>
      </c>
      <c r="AA23" s="10" t="n">
        <v>83100</v>
      </c>
      <c r="AB23" s="10" t="n">
        <v>88200</v>
      </c>
      <c r="AC23" s="10" t="n">
        <v>78200</v>
      </c>
      <c r="AD23" s="10" t="n">
        <v>79300</v>
      </c>
      <c r="AE23" s="10" t="n">
        <v>76800</v>
      </c>
      <c r="AF23" s="10" t="n">
        <v>78000</v>
      </c>
      <c r="AG23" s="10" t="n">
        <v>77500</v>
      </c>
      <c r="AH23" s="10" t="n">
        <v>77400</v>
      </c>
      <c r="AI23" s="10" t="n">
        <v>78200</v>
      </c>
      <c r="AJ23" s="10" t="n">
        <v>73500</v>
      </c>
      <c r="AK23" s="10" t="n">
        <v>75800</v>
      </c>
      <c r="AL23" s="10" t="n">
        <v>75300</v>
      </c>
      <c r="AM23" s="10" t="n">
        <v>77000</v>
      </c>
      <c r="AN23" s="10" t="n">
        <v>76500</v>
      </c>
      <c r="AO23" s="10" t="n">
        <v>81400</v>
      </c>
      <c r="AP23" s="10" t="n">
        <v>79000</v>
      </c>
      <c r="AQ23" s="10" t="n">
        <v>84000</v>
      </c>
      <c r="AR23" s="10" t="n">
        <v>78200</v>
      </c>
      <c r="AS23" s="10" t="n">
        <v>78000</v>
      </c>
      <c r="AT23" s="10" t="n">
        <v>78000</v>
      </c>
      <c r="AU23" s="10" t="n">
        <v>79000</v>
      </c>
      <c r="AV23" s="10" t="n">
        <v>73300</v>
      </c>
      <c r="AW23" s="10" t="n">
        <v>73900</v>
      </c>
      <c r="AX23" s="10" t="n">
        <v>71300</v>
      </c>
      <c r="AY23" s="10" t="n">
        <v>73300</v>
      </c>
      <c r="AZ23" s="10" t="n">
        <v>75300</v>
      </c>
      <c r="BA23" s="10" t="n">
        <v>78000</v>
      </c>
      <c r="BB23" s="10" t="n">
        <v>79500</v>
      </c>
      <c r="BC23" s="10" t="n">
        <v>77200</v>
      </c>
      <c r="BD23" s="10" t="n">
        <v>76800</v>
      </c>
      <c r="BE23" s="10" t="n">
        <v>80200</v>
      </c>
      <c r="BF23" s="10" t="n">
        <v>77500</v>
      </c>
      <c r="BG23" s="10" t="n">
        <v>76000</v>
      </c>
      <c r="BH23" s="10" t="n">
        <v>74700</v>
      </c>
      <c r="BI23" s="12">
        <f>MIN(E23:BH23)</f>
        <v/>
      </c>
      <c r="BJ23" s="12">
        <f>MAX(E23:BH23)</f>
        <v/>
      </c>
      <c r="BK23" s="12">
        <f>AVERAGE(E23:BH23)</f>
        <v/>
      </c>
    </row>
    <row r="24" ht="19" customHeight="1">
      <c r="A24" s="68" t="n">
        <v>23</v>
      </c>
      <c r="B24" s="8" t="inlineStr">
        <is>
          <t>VNM</t>
        </is>
      </c>
      <c r="C24" s="9" t="inlineStr">
        <is>
          <t>VN30 Index (Nhóm Trụ Cột)</t>
        </is>
      </c>
      <c r="D24" s="68" t="inlineStr">
        <is>
          <t>HOSE</t>
        </is>
      </c>
      <c r="E24" s="10" t="n">
        <v>57400</v>
      </c>
      <c r="F24" s="10" t="n">
        <v>56800</v>
      </c>
      <c r="G24" s="10" t="n">
        <v>55000</v>
      </c>
      <c r="H24" s="10" t="n">
        <v>55100</v>
      </c>
      <c r="I24" s="10" t="n">
        <v>56300</v>
      </c>
      <c r="J24" s="10" t="n">
        <v>55900</v>
      </c>
      <c r="K24" s="10" t="n">
        <v>56100</v>
      </c>
      <c r="L24" s="10" t="n">
        <v>56400</v>
      </c>
      <c r="M24" s="10" t="n">
        <v>57500</v>
      </c>
      <c r="N24" s="10" t="n">
        <v>59700</v>
      </c>
      <c r="O24" s="10" t="n">
        <v>60100</v>
      </c>
      <c r="P24" s="10" t="n">
        <v>63700</v>
      </c>
      <c r="Q24" s="10" t="n">
        <v>61200</v>
      </c>
      <c r="R24" s="10" t="n">
        <v>60900</v>
      </c>
      <c r="S24" s="10" t="n">
        <v>61700</v>
      </c>
      <c r="T24" s="10" t="n">
        <v>60100</v>
      </c>
      <c r="U24" s="10" t="n">
        <v>61000</v>
      </c>
      <c r="V24" s="10" t="n">
        <v>61800</v>
      </c>
      <c r="W24" s="10" t="n">
        <v>61200</v>
      </c>
      <c r="X24" s="10" t="n">
        <v>63600</v>
      </c>
      <c r="Y24" s="10" t="n">
        <v>61500</v>
      </c>
      <c r="Z24" s="10" t="n">
        <v>61200</v>
      </c>
      <c r="AA24" s="10" t="n">
        <v>62900</v>
      </c>
      <c r="AB24" s="10" t="n">
        <v>61200</v>
      </c>
      <c r="AC24" s="10" t="n">
        <v>56600</v>
      </c>
      <c r="AD24" s="10" t="n">
        <v>57100</v>
      </c>
      <c r="AE24" s="10" t="n">
        <v>57600</v>
      </c>
      <c r="AF24" s="10" t="n">
        <v>62800</v>
      </c>
      <c r="AG24" s="10" t="n">
        <v>59900</v>
      </c>
      <c r="AH24" s="10" t="n">
        <v>64000</v>
      </c>
      <c r="AI24" s="10" t="n">
        <v>63400</v>
      </c>
      <c r="AJ24" s="10" t="n">
        <v>60200</v>
      </c>
      <c r="AK24" s="10" t="n">
        <v>64000</v>
      </c>
      <c r="AL24" s="10" t="n">
        <v>61500</v>
      </c>
      <c r="AM24" s="10" t="n">
        <v>61200</v>
      </c>
      <c r="AN24" s="10" t="n">
        <v>61000</v>
      </c>
      <c r="AO24" s="10" t="n">
        <v>69600</v>
      </c>
      <c r="AP24" s="10" t="n">
        <v>67200</v>
      </c>
      <c r="AQ24" s="10" t="n">
        <v>70600</v>
      </c>
      <c r="AR24" s="10" t="n">
        <v>69100</v>
      </c>
      <c r="AS24" s="10" t="n">
        <v>69500</v>
      </c>
      <c r="AT24" s="10" t="n">
        <v>69500</v>
      </c>
      <c r="AU24" s="10" t="n">
        <v>68200</v>
      </c>
      <c r="AV24" s="10" t="n">
        <v>62400</v>
      </c>
      <c r="AW24" s="10" t="n">
        <v>63100</v>
      </c>
      <c r="AX24" s="10" t="n">
        <v>60000</v>
      </c>
      <c r="AY24" s="10" t="n">
        <v>61500</v>
      </c>
      <c r="AZ24" s="10" t="n">
        <v>60000</v>
      </c>
      <c r="BA24" s="10" t="n">
        <v>62800</v>
      </c>
      <c r="BB24" s="10" t="n">
        <v>61300</v>
      </c>
      <c r="BC24" s="10" t="n">
        <v>61400</v>
      </c>
      <c r="BD24" s="10" t="n">
        <v>60900</v>
      </c>
      <c r="BE24" s="10" t="n">
        <v>60900</v>
      </c>
      <c r="BF24" s="10" t="n">
        <v>59800</v>
      </c>
      <c r="BG24" s="10" t="n">
        <v>59500</v>
      </c>
      <c r="BH24" s="10" t="n">
        <v>59200</v>
      </c>
      <c r="BI24" s="12">
        <f>MIN(E24:BH24)</f>
        <v/>
      </c>
      <c r="BJ24" s="12">
        <f>MAX(E24:BH24)</f>
        <v/>
      </c>
      <c r="BK24" s="12">
        <f>AVERAGE(E24:BH24)</f>
        <v/>
      </c>
    </row>
    <row r="25" ht="19" customHeight="1">
      <c r="A25" s="68" t="n">
        <v>24</v>
      </c>
      <c r="B25" s="8" t="inlineStr">
        <is>
          <t>TCB</t>
        </is>
      </c>
      <c r="C25" s="9" t="inlineStr">
        <is>
          <t>VN30 Index (Nhóm Trụ Cột)</t>
        </is>
      </c>
      <c r="D25" s="68" t="inlineStr">
        <is>
          <t>HOSE</t>
        </is>
      </c>
      <c r="E25" s="10" t="n">
        <v>27400</v>
      </c>
      <c r="F25" s="10" t="n">
        <v>29900</v>
      </c>
      <c r="G25" s="10" t="n">
        <v>30500</v>
      </c>
      <c r="H25" s="10" t="n">
        <v>30800</v>
      </c>
      <c r="I25" s="10" t="n">
        <v>31100</v>
      </c>
      <c r="J25" s="10" t="n">
        <v>30950</v>
      </c>
      <c r="K25" s="10" t="n">
        <v>34000</v>
      </c>
      <c r="L25" s="10" t="n">
        <v>34050</v>
      </c>
      <c r="M25" s="10" t="n">
        <v>34850</v>
      </c>
      <c r="N25" s="10" t="n">
        <v>34800</v>
      </c>
      <c r="O25" s="10" t="n">
        <v>35150</v>
      </c>
      <c r="P25" s="10" t="n">
        <v>35050</v>
      </c>
      <c r="Q25" s="10" t="n">
        <v>34000</v>
      </c>
      <c r="R25" s="10" t="n">
        <v>38400</v>
      </c>
      <c r="S25" s="10" t="n">
        <v>38400</v>
      </c>
      <c r="T25" s="10" t="n">
        <v>41550</v>
      </c>
      <c r="U25" s="10" t="n">
        <v>39600</v>
      </c>
      <c r="V25" s="10" t="n">
        <v>39600</v>
      </c>
      <c r="W25" s="10" t="n">
        <v>38700</v>
      </c>
      <c r="X25" s="10" t="n">
        <v>38800</v>
      </c>
      <c r="Y25" s="10" t="n">
        <v>38900</v>
      </c>
      <c r="Z25" s="10" t="n">
        <v>38850</v>
      </c>
      <c r="AA25" s="10" t="n">
        <v>38950</v>
      </c>
      <c r="AB25" s="10" t="n">
        <v>41250</v>
      </c>
      <c r="AC25" s="10" t="n">
        <v>37250</v>
      </c>
      <c r="AD25" s="10" t="n">
        <v>35700</v>
      </c>
      <c r="AE25" s="10" t="n">
        <v>33000</v>
      </c>
      <c r="AF25" s="10" t="n">
        <v>35100</v>
      </c>
      <c r="AG25" s="10" t="n">
        <v>34250</v>
      </c>
      <c r="AH25" s="10" t="n">
        <v>33750</v>
      </c>
      <c r="AI25" s="10" t="n">
        <v>34700</v>
      </c>
      <c r="AJ25" s="10" t="n">
        <v>32000</v>
      </c>
      <c r="AK25" s="10" t="n">
        <v>33600</v>
      </c>
      <c r="AL25" s="10" t="n">
        <v>33900</v>
      </c>
      <c r="AM25" s="10" t="n">
        <v>34900</v>
      </c>
      <c r="AN25" s="10" t="n">
        <v>36650</v>
      </c>
      <c r="AO25" s="10" t="n">
        <v>35800</v>
      </c>
      <c r="AP25" s="10" t="n">
        <v>36500</v>
      </c>
      <c r="AQ25" s="10" t="n">
        <v>35900</v>
      </c>
      <c r="AR25" s="10" t="n">
        <v>34600</v>
      </c>
      <c r="AS25" s="10" t="n">
        <v>35450</v>
      </c>
      <c r="AT25" s="10" t="n">
        <v>35450</v>
      </c>
      <c r="AU25" s="10" t="n">
        <v>36250</v>
      </c>
      <c r="AV25" s="10" t="n">
        <v>31450</v>
      </c>
      <c r="AW25" s="10" t="n">
        <v>30000</v>
      </c>
      <c r="AX25" s="10" t="n">
        <v>29850</v>
      </c>
      <c r="AY25" s="10" t="n">
        <v>30650</v>
      </c>
      <c r="AZ25" s="10" t="n">
        <v>29750</v>
      </c>
      <c r="BA25" s="10" t="n">
        <v>32250</v>
      </c>
      <c r="BB25" s="10" t="n">
        <v>32250</v>
      </c>
      <c r="BC25" s="10" t="n">
        <v>34250</v>
      </c>
      <c r="BD25" s="10" t="n">
        <v>33850</v>
      </c>
      <c r="BE25" s="10" t="n">
        <v>33850</v>
      </c>
      <c r="BF25" s="10" t="n">
        <v>34050</v>
      </c>
      <c r="BG25" s="10" t="n">
        <v>32200</v>
      </c>
      <c r="BH25" s="10" t="n">
        <v>32750</v>
      </c>
      <c r="BI25" s="12">
        <f>MIN(E25:BH25)</f>
        <v/>
      </c>
      <c r="BJ25" s="12">
        <f>MAX(E25:BH25)</f>
        <v/>
      </c>
      <c r="BK25" s="12">
        <f>AVERAGE(E25:BH25)</f>
        <v/>
      </c>
    </row>
    <row r="26" ht="19" customHeight="1">
      <c r="A26" s="68" t="n">
        <v>25</v>
      </c>
      <c r="B26" s="8" t="inlineStr">
        <is>
          <t>SSI</t>
        </is>
      </c>
      <c r="C26" s="9" t="inlineStr">
        <is>
          <t>VN30 Index (Nhóm Trụ Cột)</t>
        </is>
      </c>
      <c r="D26" s="68" t="inlineStr">
        <is>
          <t>HOSE</t>
        </is>
      </c>
      <c r="E26" s="10" t="n">
        <v>17533.9140625</v>
      </c>
      <c r="F26" s="10" t="n">
        <v>18141.150390625</v>
      </c>
      <c r="G26" s="10" t="n">
        <v>17723.67578125</v>
      </c>
      <c r="H26" s="10" t="n">
        <v>17837.533203125</v>
      </c>
      <c r="I26" s="10" t="n">
        <v>18179.1015625</v>
      </c>
      <c r="J26" s="10" t="n">
        <v>17951.388671875</v>
      </c>
      <c r="K26" s="10" t="n">
        <v>18141.150390625</v>
      </c>
      <c r="L26" s="10" t="n">
        <v>18596.576171875</v>
      </c>
      <c r="M26" s="10" t="n">
        <v>19545.380859375</v>
      </c>
      <c r="N26" s="10" t="n">
        <v>21974.322265625</v>
      </c>
      <c r="O26" s="10" t="n">
        <v>24213.501953125</v>
      </c>
      <c r="P26" s="10" t="n">
        <v>24289.40625</v>
      </c>
      <c r="Q26" s="10" t="n">
        <v>25959.302734375</v>
      </c>
      <c r="R26" s="10" t="n">
        <v>26680.39453125</v>
      </c>
      <c r="S26" s="10" t="n">
        <v>27932.81640625</v>
      </c>
      <c r="T26" s="10" t="n">
        <v>28122.578125</v>
      </c>
      <c r="U26" s="10" t="n">
        <v>31879.845703125</v>
      </c>
      <c r="V26" s="10" t="n">
        <v>32107.55859375</v>
      </c>
      <c r="W26" s="10" t="n">
        <v>32221.4140625</v>
      </c>
      <c r="X26" s="10" t="n">
        <v>30968.9921875</v>
      </c>
      <c r="Y26" s="10" t="n">
        <v>29602.712890625</v>
      </c>
      <c r="Z26" s="10" t="n">
        <v>28729.8125</v>
      </c>
      <c r="AA26" s="10" t="n">
        <v>30855.134765625</v>
      </c>
      <c r="AB26" s="10" t="n">
        <v>31386.466796875</v>
      </c>
      <c r="AC26" s="10" t="n">
        <v>28464.146484375</v>
      </c>
      <c r="AD26" s="10" t="n">
        <v>26452.681640625</v>
      </c>
      <c r="AE26" s="10" t="n">
        <v>25010.498046875</v>
      </c>
      <c r="AF26" s="10" t="n">
        <v>26528.5859375</v>
      </c>
      <c r="AG26" s="10" t="n">
        <v>26035.20703125</v>
      </c>
      <c r="AH26" s="10" t="n">
        <v>24896.640625</v>
      </c>
      <c r="AI26" s="10" t="n">
        <v>24479.166015625</v>
      </c>
      <c r="AJ26" s="10" t="n">
        <v>23416.666015625</v>
      </c>
      <c r="AK26" s="10" t="n">
        <v>25666.666015625</v>
      </c>
      <c r="AL26" s="10" t="n">
        <v>25625</v>
      </c>
      <c r="AM26" s="10" t="n">
        <v>25208.333984375</v>
      </c>
      <c r="AN26" s="10" t="n">
        <v>25291.666015625</v>
      </c>
      <c r="AO26" s="10" t="n">
        <v>27208.333984375</v>
      </c>
      <c r="AP26" s="10" t="n">
        <v>26583.333984375</v>
      </c>
      <c r="AQ26" s="10" t="n">
        <v>25958.333984375</v>
      </c>
      <c r="AR26" s="10" t="n">
        <v>24916.666015625</v>
      </c>
      <c r="AS26" s="10" t="n">
        <v>26166.666015625</v>
      </c>
      <c r="AT26" s="10" t="n">
        <v>26166.666015625</v>
      </c>
      <c r="AU26" s="10" t="n">
        <v>27000</v>
      </c>
      <c r="AV26" s="10" t="n">
        <v>26250</v>
      </c>
      <c r="AW26" s="10" t="n">
        <v>23666.666015625</v>
      </c>
      <c r="AX26" s="10" t="n">
        <v>22458.333984375</v>
      </c>
      <c r="AY26" s="10" t="n">
        <v>22541.666015625</v>
      </c>
      <c r="AZ26" s="10" t="n">
        <v>22500</v>
      </c>
      <c r="BA26" s="10" t="n">
        <v>23833.333984375</v>
      </c>
      <c r="BB26" s="10" t="n">
        <v>23791.666015625</v>
      </c>
      <c r="BC26" s="10" t="n">
        <v>23083.333984375</v>
      </c>
      <c r="BD26" s="10" t="n">
        <v>23041.666015625</v>
      </c>
      <c r="BE26" s="10" t="n">
        <v>23583.333984375</v>
      </c>
      <c r="BF26" s="10" t="n">
        <v>23250</v>
      </c>
      <c r="BG26" s="10" t="n">
        <v>22958.333984375</v>
      </c>
      <c r="BH26" s="10" t="n">
        <v>22916.666015625</v>
      </c>
      <c r="BI26" s="12">
        <f>MIN(E26:BH26)</f>
        <v/>
      </c>
      <c r="BJ26" s="12">
        <f>MAX(E26:BH26)</f>
        <v/>
      </c>
      <c r="BK26" s="12">
        <f>AVERAGE(E26:BH26)</f>
        <v/>
      </c>
    </row>
    <row r="27" ht="19" customHeight="1">
      <c r="A27" s="68" t="n">
        <v>26</v>
      </c>
      <c r="B27" s="8" t="inlineStr">
        <is>
          <t>SSB</t>
        </is>
      </c>
      <c r="C27" s="9" t="inlineStr">
        <is>
          <t>VN30 Index (Nhóm Trụ Cột)</t>
        </is>
      </c>
      <c r="D27" s="68" t="inlineStr">
        <is>
          <t>HOSE</t>
        </is>
      </c>
      <c r="E27" s="10" t="n">
        <v>15516.0712890625</v>
      </c>
      <c r="F27" s="10" t="n">
        <v>16096.88671875</v>
      </c>
      <c r="G27" s="10" t="n">
        <v>15474.583984375</v>
      </c>
      <c r="H27" s="10" t="n">
        <v>15267.150390625</v>
      </c>
      <c r="I27" s="10" t="n">
        <v>15018.2294921875</v>
      </c>
      <c r="J27" s="10" t="n">
        <v>15059.7158203125</v>
      </c>
      <c r="K27" s="10" t="n">
        <v>15018.2294921875</v>
      </c>
      <c r="L27" s="10" t="n">
        <v>15059.7158203125</v>
      </c>
      <c r="M27" s="10" t="n">
        <v>15184.1767578125</v>
      </c>
      <c r="N27" s="10" t="n">
        <v>15930.939453125</v>
      </c>
      <c r="O27" s="10" t="n">
        <v>16594.728515625</v>
      </c>
      <c r="P27" s="10" t="n">
        <v>16553.2421875</v>
      </c>
      <c r="Q27" s="10" t="n">
        <v>16179.8603515625</v>
      </c>
      <c r="R27" s="10" t="n">
        <v>16428.78125</v>
      </c>
      <c r="S27" s="10" t="n">
        <v>17258.517578125</v>
      </c>
      <c r="T27" s="10" t="n">
        <v>19166.912109375</v>
      </c>
      <c r="U27" s="10" t="n">
        <v>17839.333984375</v>
      </c>
      <c r="V27" s="10" t="n">
        <v>17963.79296875</v>
      </c>
      <c r="W27" s="10" t="n">
        <v>16677.703125</v>
      </c>
      <c r="X27" s="10" t="n">
        <v>16594.728515625</v>
      </c>
      <c r="Y27" s="10" t="n">
        <v>16138.373046875</v>
      </c>
      <c r="Z27" s="10" t="n">
        <v>16013.9130859375</v>
      </c>
      <c r="AA27" s="10" t="n">
        <v>15847.9658203125</v>
      </c>
      <c r="AB27" s="10" t="n">
        <v>15764.9921875</v>
      </c>
      <c r="AC27" s="10" t="n">
        <v>15059.7158203125</v>
      </c>
      <c r="AD27" s="10" t="n">
        <v>14852.2822265625</v>
      </c>
      <c r="AE27" s="10" t="n">
        <v>14271.466796875</v>
      </c>
      <c r="AF27" s="10" t="n">
        <v>14105.51953125</v>
      </c>
      <c r="AG27" s="10" t="n">
        <v>14229.9794921875</v>
      </c>
      <c r="AH27" s="10" t="n">
        <v>14354.4404296875</v>
      </c>
      <c r="AI27" s="10" t="n">
        <v>14686.3349609375</v>
      </c>
      <c r="AJ27" s="10" t="n">
        <v>14354.4404296875</v>
      </c>
      <c r="AK27" s="10" t="n">
        <v>14520.3876953125</v>
      </c>
      <c r="AL27" s="10" t="n">
        <v>14354.4404296875</v>
      </c>
      <c r="AM27" s="10" t="n">
        <v>14478.900390625</v>
      </c>
      <c r="AN27" s="10" t="n">
        <v>14395.9267578125</v>
      </c>
      <c r="AO27" s="10" t="n">
        <v>14935.255859375</v>
      </c>
      <c r="AP27" s="10" t="n">
        <v>14644.84765625</v>
      </c>
      <c r="AQ27" s="10" t="n">
        <v>14229.9794921875</v>
      </c>
      <c r="AR27" s="10" t="n">
        <v>13939.572265625</v>
      </c>
      <c r="AS27" s="10" t="n">
        <v>14105.51953125</v>
      </c>
      <c r="AT27" s="10" t="n">
        <v>14105.51953125</v>
      </c>
      <c r="AU27" s="10" t="n">
        <v>14022.5458984375</v>
      </c>
      <c r="AV27" s="10" t="n">
        <v>14105.51953125</v>
      </c>
      <c r="AW27" s="10" t="n">
        <v>13732.1376953125</v>
      </c>
      <c r="AX27" s="10" t="n">
        <v>14022.5458984375</v>
      </c>
      <c r="AY27" s="10" t="n">
        <v>14022.5458984375</v>
      </c>
      <c r="AZ27" s="10" t="n">
        <v>13939.572265625</v>
      </c>
      <c r="BA27" s="10" t="n">
        <v>14229.9794921875</v>
      </c>
      <c r="BB27" s="10" t="n">
        <v>13981.05859375</v>
      </c>
      <c r="BC27" s="10" t="n">
        <v>13815.111328125</v>
      </c>
      <c r="BD27" s="10" t="n">
        <v>13856.5986328125</v>
      </c>
      <c r="BE27" s="10" t="n">
        <v>13939.572265625</v>
      </c>
      <c r="BF27" s="10" t="n">
        <v>13690.6513671875</v>
      </c>
      <c r="BG27" s="10" t="n">
        <v>13856.5986328125</v>
      </c>
      <c r="BH27" s="10" t="n">
        <v>14000</v>
      </c>
      <c r="BI27" s="12">
        <f>MIN(E27:BH27)</f>
        <v/>
      </c>
      <c r="BJ27" s="12">
        <f>MAX(E27:BH27)</f>
        <v/>
      </c>
      <c r="BK27" s="12">
        <f>AVERAGE(E27:BH27)</f>
        <v/>
      </c>
    </row>
    <row r="28" ht="19" customHeight="1">
      <c r="A28" s="68" t="n">
        <v>27</v>
      </c>
      <c r="B28" s="8" t="inlineStr">
        <is>
          <t>SHB</t>
        </is>
      </c>
      <c r="C28" s="9" t="inlineStr">
        <is>
          <t>VN30 Index (Nhóm Trụ Cột)</t>
        </is>
      </c>
      <c r="D28" s="68" t="inlineStr">
        <is>
          <t>HOSE</t>
        </is>
      </c>
      <c r="E28" s="10" t="n">
        <v>11415.9296875</v>
      </c>
      <c r="F28" s="10" t="n">
        <v>12123.8935546875</v>
      </c>
      <c r="G28" s="10" t="n">
        <v>11902.6552734375</v>
      </c>
      <c r="H28" s="10" t="n">
        <v>12035.3984375</v>
      </c>
      <c r="I28" s="10" t="n">
        <v>12123.8935546875</v>
      </c>
      <c r="J28" s="10" t="n">
        <v>11769.9111328125</v>
      </c>
      <c r="K28" s="10" t="n">
        <v>11504.4248046875</v>
      </c>
      <c r="L28" s="10" t="n">
        <v>11592.919921875</v>
      </c>
      <c r="M28" s="10" t="n">
        <v>11504.4248046875</v>
      </c>
      <c r="N28" s="10" t="n">
        <v>12699.115234375</v>
      </c>
      <c r="O28" s="10" t="n">
        <v>12654.8671875</v>
      </c>
      <c r="P28" s="10" t="n">
        <v>13318.583984375</v>
      </c>
      <c r="Q28" s="10" t="n">
        <v>15221.2392578125</v>
      </c>
      <c r="R28" s="10" t="n">
        <v>16681.416015625</v>
      </c>
      <c r="S28" s="10" t="n">
        <v>18053.09765625</v>
      </c>
      <c r="T28" s="10" t="n">
        <v>18500</v>
      </c>
      <c r="U28" s="10" t="n">
        <v>18400</v>
      </c>
      <c r="V28" s="10" t="n">
        <v>18850</v>
      </c>
      <c r="W28" s="10" t="n">
        <v>17800</v>
      </c>
      <c r="X28" s="10" t="n">
        <v>17850</v>
      </c>
      <c r="Y28" s="10" t="n">
        <v>17350</v>
      </c>
      <c r="Z28" s="10" t="n">
        <v>17000</v>
      </c>
      <c r="AA28" s="10" t="n">
        <v>17900</v>
      </c>
      <c r="AB28" s="10" t="n">
        <v>18150</v>
      </c>
      <c r="AC28" s="10" t="n">
        <v>16700</v>
      </c>
      <c r="AD28" s="10" t="n">
        <v>16900</v>
      </c>
      <c r="AE28" s="10" t="n">
        <v>15300</v>
      </c>
      <c r="AF28" s="10" t="n">
        <v>16350</v>
      </c>
      <c r="AG28" s="10" t="n">
        <v>16650</v>
      </c>
      <c r="AH28" s="10" t="n">
        <v>16800</v>
      </c>
      <c r="AI28" s="10" t="n">
        <v>16750</v>
      </c>
      <c r="AJ28" s="10" t="n">
        <v>16000</v>
      </c>
      <c r="AK28" s="10" t="n">
        <v>16150</v>
      </c>
      <c r="AL28" s="10" t="n">
        <v>16350</v>
      </c>
      <c r="AM28" s="10" t="n">
        <v>16350</v>
      </c>
      <c r="AN28" s="10" t="n">
        <v>16500</v>
      </c>
      <c r="AO28" s="10" t="n">
        <v>16350</v>
      </c>
      <c r="AP28" s="10" t="n">
        <v>16300</v>
      </c>
      <c r="AQ28" s="10" t="n">
        <v>16000</v>
      </c>
      <c r="AR28" s="10" t="n">
        <v>15350</v>
      </c>
      <c r="AS28" s="10" t="n">
        <v>15450</v>
      </c>
      <c r="AT28" s="10" t="n">
        <v>15450</v>
      </c>
      <c r="AU28" s="10" t="n">
        <v>15950</v>
      </c>
      <c r="AV28" s="10" t="n">
        <v>15400</v>
      </c>
      <c r="AW28" s="10" t="n">
        <v>14950</v>
      </c>
      <c r="AX28" s="10" t="n">
        <v>14900</v>
      </c>
      <c r="AY28" s="10" t="n">
        <v>15151.3154296875</v>
      </c>
      <c r="AZ28" s="10" t="n">
        <v>14900</v>
      </c>
      <c r="BA28" s="10" t="n">
        <v>15400</v>
      </c>
      <c r="BB28" s="10" t="n">
        <v>15300</v>
      </c>
      <c r="BC28" s="10" t="n">
        <v>14750</v>
      </c>
      <c r="BD28" s="10" t="n">
        <v>14550</v>
      </c>
      <c r="BE28" s="10" t="n">
        <v>14250</v>
      </c>
      <c r="BF28" s="10" t="n">
        <v>13900</v>
      </c>
      <c r="BG28" s="10" t="n">
        <v>13550</v>
      </c>
      <c r="BH28" s="10" t="n">
        <v>13800</v>
      </c>
      <c r="BI28" s="12">
        <f>MIN(E28:BH28)</f>
        <v/>
      </c>
      <c r="BJ28" s="12">
        <f>MAX(E28:BH28)</f>
        <v/>
      </c>
      <c r="BK28" s="12">
        <f>AVERAGE(E28:BH28)</f>
        <v/>
      </c>
    </row>
    <row r="29" ht="19" customHeight="1">
      <c r="A29" s="68" t="n">
        <v>28</v>
      </c>
      <c r="B29" s="8" t="inlineStr">
        <is>
          <t>VIB</t>
        </is>
      </c>
      <c r="C29" s="9" t="inlineStr">
        <is>
          <t>VN30 Index (Nhóm Trụ Cột)</t>
        </is>
      </c>
      <c r="D29" s="68" t="inlineStr">
        <is>
          <t>HOSE</t>
        </is>
      </c>
      <c r="E29" s="10" t="n">
        <v>14099.1748046875</v>
      </c>
      <c r="F29" s="10" t="n">
        <v>15020.427734375</v>
      </c>
      <c r="G29" s="10" t="n">
        <v>14539.7744140625</v>
      </c>
      <c r="H29" s="10" t="n">
        <v>14659.9375</v>
      </c>
      <c r="I29" s="10" t="n">
        <v>14419.6103515625</v>
      </c>
      <c r="J29" s="10" t="n">
        <v>14419.6103515625</v>
      </c>
      <c r="K29" s="10" t="n">
        <v>14419.6103515625</v>
      </c>
      <c r="L29" s="10" t="n">
        <v>14499.7197265625</v>
      </c>
      <c r="M29" s="10" t="n">
        <v>14699.9921875</v>
      </c>
      <c r="N29" s="10" t="n">
        <v>15300.8095703125</v>
      </c>
      <c r="O29" s="10" t="n">
        <v>15570.7763671875</v>
      </c>
      <c r="P29" s="10" t="n">
        <v>16757.990234375</v>
      </c>
      <c r="Q29" s="10" t="n">
        <v>17716.89453125</v>
      </c>
      <c r="R29" s="10" t="n">
        <v>17853.880859375</v>
      </c>
      <c r="S29" s="10" t="n">
        <v>18675.798828125</v>
      </c>
      <c r="T29" s="10" t="n">
        <v>21369.86328125</v>
      </c>
      <c r="U29" s="10" t="n">
        <v>20228.310546875</v>
      </c>
      <c r="V29" s="10" t="n">
        <v>20958.904296875</v>
      </c>
      <c r="W29" s="10" t="n">
        <v>19178.08203125</v>
      </c>
      <c r="X29" s="10" t="n">
        <v>18767.123046875</v>
      </c>
      <c r="Y29" s="10" t="n">
        <v>18356.1640625</v>
      </c>
      <c r="Z29" s="10" t="n">
        <v>17990.8671875</v>
      </c>
      <c r="AA29" s="10" t="n">
        <v>18630.13671875</v>
      </c>
      <c r="AB29" s="10" t="n">
        <v>18264.83984375</v>
      </c>
      <c r="AC29" s="10" t="n">
        <v>16894.9765625</v>
      </c>
      <c r="AD29" s="10" t="n">
        <v>17123.287109375</v>
      </c>
      <c r="AE29" s="10" t="n">
        <v>16712.328125</v>
      </c>
      <c r="AF29" s="10" t="n">
        <v>16894.9765625</v>
      </c>
      <c r="AG29" s="10" t="n">
        <v>16940.638671875</v>
      </c>
      <c r="AH29" s="10" t="n">
        <v>16894.9765625</v>
      </c>
      <c r="AI29" s="10" t="n">
        <v>17031.962890625</v>
      </c>
      <c r="AJ29" s="10" t="n">
        <v>15799.0869140625</v>
      </c>
      <c r="AK29" s="10" t="n">
        <v>16073.0595703125</v>
      </c>
      <c r="AL29" s="10" t="n">
        <v>16073.0595703125</v>
      </c>
      <c r="AM29" s="10" t="n">
        <v>16210.0458984375</v>
      </c>
      <c r="AN29" s="10" t="n">
        <v>16392.693359375</v>
      </c>
      <c r="AO29" s="10" t="n">
        <v>16621.00390625</v>
      </c>
      <c r="AP29" s="10" t="n">
        <v>16255.7080078125</v>
      </c>
      <c r="AQ29" s="10" t="n">
        <v>16255.7080078125</v>
      </c>
      <c r="AR29" s="10" t="n">
        <v>15251.1416015625</v>
      </c>
      <c r="AS29" s="10" t="n">
        <v>15753.4248046875</v>
      </c>
      <c r="AT29" s="10" t="n">
        <v>15753.4248046875</v>
      </c>
      <c r="AU29" s="10" t="n">
        <v>15799.0869140625</v>
      </c>
      <c r="AV29" s="10" t="n">
        <v>15251.1416015625</v>
      </c>
      <c r="AW29" s="10" t="n">
        <v>15433.7900390625</v>
      </c>
      <c r="AX29" s="10" t="n">
        <v>15342.4658203125</v>
      </c>
      <c r="AY29" s="10" t="n">
        <v>15525.1142578125</v>
      </c>
      <c r="AZ29" s="10" t="n">
        <v>15205.4794921875</v>
      </c>
      <c r="BA29" s="10" t="n">
        <v>15936.0732421875</v>
      </c>
      <c r="BB29" s="10" t="n">
        <v>15844.7490234375</v>
      </c>
      <c r="BC29" s="10" t="n">
        <v>15753.4248046875</v>
      </c>
      <c r="BD29" s="10" t="n">
        <v>14885.8447265625</v>
      </c>
      <c r="BE29" s="10" t="n">
        <v>14657.5341796875</v>
      </c>
      <c r="BF29" s="10" t="n">
        <v>14703.1962890625</v>
      </c>
      <c r="BG29" s="10" t="n">
        <v>14337.8994140625</v>
      </c>
      <c r="BH29" s="10" t="n">
        <v>14703.1962890625</v>
      </c>
      <c r="BI29" s="12">
        <f>MIN(E29:BH29)</f>
        <v/>
      </c>
      <c r="BJ29" s="12">
        <f>MAX(E29:BH29)</f>
        <v/>
      </c>
      <c r="BK29" s="12">
        <f>AVERAGE(E29:BH29)</f>
        <v/>
      </c>
    </row>
    <row r="30" ht="19" customHeight="1">
      <c r="A30" s="68" t="n">
        <v>29</v>
      </c>
      <c r="B30" s="8" t="inlineStr">
        <is>
          <t>BCM</t>
        </is>
      </c>
      <c r="C30" s="9" t="inlineStr">
        <is>
          <t>VN30 Index (Nhóm Trụ Cột)</t>
        </is>
      </c>
      <c r="D30" s="68" t="inlineStr">
        <is>
          <t>HOSE</t>
        </is>
      </c>
      <c r="E30" s="10" t="n">
        <v>60000</v>
      </c>
      <c r="F30" s="10" t="n">
        <v>61000</v>
      </c>
      <c r="G30" s="10" t="n">
        <v>59700</v>
      </c>
      <c r="H30" s="10" t="n">
        <v>62200</v>
      </c>
      <c r="I30" s="10" t="n">
        <v>60900</v>
      </c>
      <c r="J30" s="10" t="n">
        <v>59200</v>
      </c>
      <c r="K30" s="10" t="n">
        <v>59000</v>
      </c>
      <c r="L30" s="10" t="n">
        <v>62100</v>
      </c>
      <c r="M30" s="10" t="n">
        <v>66400</v>
      </c>
      <c r="N30" s="10" t="n">
        <v>68600</v>
      </c>
      <c r="O30" s="10" t="n">
        <v>67300</v>
      </c>
      <c r="P30" s="10" t="n">
        <v>69900</v>
      </c>
      <c r="Q30" s="10" t="n">
        <v>71700</v>
      </c>
      <c r="R30" s="10" t="n">
        <v>70600</v>
      </c>
      <c r="S30" s="10" t="n">
        <v>70500</v>
      </c>
      <c r="T30" s="10" t="n">
        <v>69900</v>
      </c>
      <c r="U30" s="10" t="n">
        <v>68000</v>
      </c>
      <c r="V30" s="10" t="n">
        <v>67700</v>
      </c>
      <c r="W30" s="10" t="n">
        <v>67600</v>
      </c>
      <c r="X30" s="10" t="n">
        <v>69200</v>
      </c>
      <c r="Y30" s="10" t="n">
        <v>67400</v>
      </c>
      <c r="Z30" s="10" t="n">
        <v>66200</v>
      </c>
      <c r="AA30" s="10" t="n">
        <v>66300</v>
      </c>
      <c r="AB30" s="10" t="n">
        <v>65500</v>
      </c>
      <c r="AC30" s="10" t="n">
        <v>65400</v>
      </c>
      <c r="AD30" s="10" t="n">
        <v>66900</v>
      </c>
      <c r="AE30" s="10" t="n">
        <v>68000</v>
      </c>
      <c r="AF30" s="10" t="n">
        <v>67500</v>
      </c>
      <c r="AG30" s="10" t="n">
        <v>67000</v>
      </c>
      <c r="AH30" s="10" t="n">
        <v>66600</v>
      </c>
      <c r="AI30" s="10" t="n">
        <v>66000</v>
      </c>
      <c r="AJ30" s="10" t="n">
        <v>65300</v>
      </c>
      <c r="AK30" s="10" t="n">
        <v>61300</v>
      </c>
      <c r="AL30" s="10" t="n">
        <v>59600</v>
      </c>
      <c r="AM30" s="10" t="n">
        <v>61800</v>
      </c>
      <c r="AN30" s="10" t="n">
        <v>71000</v>
      </c>
      <c r="AO30" s="10" t="n">
        <v>77500</v>
      </c>
      <c r="AP30" s="10" t="n">
        <v>69300</v>
      </c>
      <c r="AQ30" s="10" t="n">
        <v>68100</v>
      </c>
      <c r="AR30" s="10" t="n">
        <v>65500</v>
      </c>
      <c r="AS30" s="10" t="n">
        <v>63300</v>
      </c>
      <c r="AT30" s="10" t="n">
        <v>63300</v>
      </c>
      <c r="AU30" s="10" t="n">
        <v>67300</v>
      </c>
      <c r="AV30" s="10" t="n">
        <v>58600</v>
      </c>
      <c r="AW30" s="10" t="n">
        <v>53700</v>
      </c>
      <c r="AX30" s="10" t="n">
        <v>52800</v>
      </c>
      <c r="AY30" s="10" t="n">
        <v>54300</v>
      </c>
      <c r="AZ30" s="10" t="n">
        <v>53200</v>
      </c>
      <c r="BA30" s="10" t="n">
        <v>55500</v>
      </c>
      <c r="BB30" s="10" t="n">
        <v>55700</v>
      </c>
      <c r="BC30" s="10" t="n">
        <v>54200</v>
      </c>
      <c r="BD30" s="10" t="n">
        <v>53200</v>
      </c>
      <c r="BE30" s="10" t="n">
        <v>53000</v>
      </c>
      <c r="BF30" s="10" t="n">
        <v>54000</v>
      </c>
      <c r="BG30" s="10" t="n">
        <v>54100</v>
      </c>
      <c r="BH30" s="10" t="n">
        <v>55100</v>
      </c>
      <c r="BI30" s="12">
        <f>MIN(E30:BH30)</f>
        <v/>
      </c>
      <c r="BJ30" s="12">
        <f>MAX(E30:BH30)</f>
        <v/>
      </c>
      <c r="BK30" s="12">
        <f>AVERAGE(E30:BH30)</f>
        <v/>
      </c>
    </row>
    <row r="31" ht="19" customHeight="1">
      <c r="A31" s="68" t="n">
        <v>30</v>
      </c>
      <c r="B31" s="8" t="inlineStr">
        <is>
          <t>FPT</t>
        </is>
      </c>
      <c r="C31" s="9" t="inlineStr">
        <is>
          <t>VN30 Index (Nhóm Trụ Cột)</t>
        </is>
      </c>
      <c r="D31" s="68" t="inlineStr">
        <is>
          <t>HOSE</t>
        </is>
      </c>
      <c r="E31" s="10" t="n">
        <v>99391.3046875</v>
      </c>
      <c r="F31" s="10" t="n">
        <v>108695.6484375</v>
      </c>
      <c r="G31" s="10" t="n">
        <v>101565.21875</v>
      </c>
      <c r="H31" s="10" t="n">
        <v>101826.0859375</v>
      </c>
      <c r="I31" s="10" t="n">
        <v>101565.21875</v>
      </c>
      <c r="J31" s="10" t="n">
        <v>101739.1328125</v>
      </c>
      <c r="K31" s="10" t="n">
        <v>100869.5625</v>
      </c>
      <c r="L31" s="10" t="n">
        <v>101739.1328125</v>
      </c>
      <c r="M31" s="10" t="n">
        <v>102608.6953125</v>
      </c>
      <c r="N31" s="10" t="n">
        <v>107739.1328125</v>
      </c>
      <c r="O31" s="10" t="n">
        <v>110434.78125</v>
      </c>
      <c r="P31" s="10" t="n">
        <v>111100</v>
      </c>
      <c r="Q31" s="10" t="n">
        <v>104000</v>
      </c>
      <c r="R31" s="10" t="n">
        <v>106200</v>
      </c>
      <c r="S31" s="10" t="n">
        <v>103800</v>
      </c>
      <c r="T31" s="10" t="n">
        <v>101700</v>
      </c>
      <c r="U31" s="10" t="n">
        <v>104500</v>
      </c>
      <c r="V31" s="10" t="n">
        <v>105000</v>
      </c>
      <c r="W31" s="10" t="n">
        <v>102000</v>
      </c>
      <c r="X31" s="10" t="n">
        <v>103000</v>
      </c>
      <c r="Y31" s="10" t="n">
        <v>98000</v>
      </c>
      <c r="Z31" s="10" t="n">
        <v>92100</v>
      </c>
      <c r="AA31" s="10" t="n">
        <v>94200</v>
      </c>
      <c r="AB31" s="10" t="n">
        <v>89800</v>
      </c>
      <c r="AC31" s="10" t="n">
        <v>95000</v>
      </c>
      <c r="AD31" s="10" t="n">
        <v>102700</v>
      </c>
      <c r="AE31" s="10" t="n">
        <v>101000</v>
      </c>
      <c r="AF31" s="10" t="n">
        <v>100000</v>
      </c>
      <c r="AG31" s="10" t="n">
        <v>100800</v>
      </c>
      <c r="AH31" s="10" t="n">
        <v>97100</v>
      </c>
      <c r="AI31" s="10" t="n">
        <v>96200</v>
      </c>
      <c r="AJ31" s="10" t="n">
        <v>93700</v>
      </c>
      <c r="AK31" s="10" t="n">
        <v>93900</v>
      </c>
      <c r="AL31" s="10" t="n">
        <v>92500</v>
      </c>
      <c r="AM31" s="10" t="n">
        <v>95800</v>
      </c>
      <c r="AN31" s="10" t="n">
        <v>97400</v>
      </c>
      <c r="AO31" s="10" t="n">
        <v>105300</v>
      </c>
      <c r="AP31" s="10" t="n">
        <v>101000</v>
      </c>
      <c r="AQ31" s="10" t="n">
        <v>104500</v>
      </c>
      <c r="AR31" s="10" t="n">
        <v>97600</v>
      </c>
      <c r="AS31" s="10" t="n">
        <v>96300</v>
      </c>
      <c r="AT31" s="10" t="n">
        <v>96300</v>
      </c>
      <c r="AU31" s="10" t="n">
        <v>92900</v>
      </c>
      <c r="AV31" s="10" t="n">
        <v>81600</v>
      </c>
      <c r="AW31" s="10" t="n">
        <v>77000</v>
      </c>
      <c r="AX31" s="10" t="n">
        <v>74600</v>
      </c>
      <c r="AY31" s="10" t="n">
        <v>76100</v>
      </c>
      <c r="AZ31" s="10" t="n">
        <v>74000</v>
      </c>
      <c r="BA31" s="10" t="n">
        <v>77700</v>
      </c>
      <c r="BB31" s="10" t="n">
        <v>76000</v>
      </c>
      <c r="BC31" s="10" t="n">
        <v>73400</v>
      </c>
      <c r="BD31" s="10" t="n">
        <v>75500</v>
      </c>
      <c r="BE31" s="10" t="n">
        <v>71900</v>
      </c>
      <c r="BF31" s="10" t="n">
        <v>72900</v>
      </c>
      <c r="BG31" s="10" t="n">
        <v>75100</v>
      </c>
      <c r="BH31" s="10" t="n">
        <v>71600</v>
      </c>
      <c r="BI31" s="12">
        <f>MIN(E31:BH31)</f>
        <v/>
      </c>
      <c r="BJ31" s="12">
        <f>MAX(E31:BH31)</f>
        <v/>
      </c>
      <c r="BK31" s="12">
        <f>AVERAGE(E31:BH31)</f>
        <v/>
      </c>
    </row>
    <row r="32" ht="19" customHeight="1">
      <c r="A32" s="69" t="n">
        <v>31</v>
      </c>
      <c r="B32" s="20" t="inlineStr">
        <is>
          <t>MSB</t>
        </is>
      </c>
      <c r="C32" s="21" t="inlineStr">
        <is>
          <t>Ngân Hàng &amp; Tài Chính</t>
        </is>
      </c>
      <c r="D32" s="69" t="inlineStr">
        <is>
          <t>HOSE</t>
        </is>
      </c>
      <c r="E32" s="22" t="n">
        <v>7881.9443359375</v>
      </c>
      <c r="F32" s="22" t="n">
        <v>8333.3330078125</v>
      </c>
      <c r="G32" s="22" t="n">
        <v>8090.27783203125</v>
      </c>
      <c r="H32" s="22" t="n">
        <v>8125</v>
      </c>
      <c r="I32" s="22" t="n">
        <v>8090.27783203125</v>
      </c>
      <c r="J32" s="22" t="n">
        <v>8263.888671875</v>
      </c>
      <c r="K32" s="22" t="n">
        <v>8368.0556640625</v>
      </c>
      <c r="L32" s="22" t="n">
        <v>8333.3330078125</v>
      </c>
      <c r="M32" s="22" t="n">
        <v>8437.5</v>
      </c>
      <c r="N32" s="22" t="n">
        <v>8923.611328125</v>
      </c>
      <c r="O32" s="22" t="n">
        <v>9201.388671875</v>
      </c>
      <c r="P32" s="22" t="n">
        <v>9548.611328125</v>
      </c>
      <c r="Q32" s="22" t="n">
        <v>9583.3330078125</v>
      </c>
      <c r="R32" s="22" t="n">
        <v>10659.72265625</v>
      </c>
      <c r="S32" s="22" t="n">
        <v>11215.27734375</v>
      </c>
      <c r="T32" s="22" t="n">
        <v>12118.0556640625</v>
      </c>
      <c r="U32" s="22" t="n">
        <v>12187.5</v>
      </c>
      <c r="V32" s="22" t="n">
        <v>12847.22265625</v>
      </c>
      <c r="W32" s="22" t="n">
        <v>11291.6669921875</v>
      </c>
      <c r="X32" s="22" t="n">
        <v>11333.3330078125</v>
      </c>
      <c r="Y32" s="22" t="n">
        <v>11083.3330078125</v>
      </c>
      <c r="Z32" s="22" t="n">
        <v>11083.3330078125</v>
      </c>
      <c r="AA32" s="22" t="n">
        <v>11416.6669921875</v>
      </c>
      <c r="AB32" s="22" t="n">
        <v>11041.6669921875</v>
      </c>
      <c r="AC32" s="22" t="n">
        <v>10333.3330078125</v>
      </c>
      <c r="AD32" s="22" t="n">
        <v>10291.6669921875</v>
      </c>
      <c r="AE32" s="22" t="n">
        <v>10083.3330078125</v>
      </c>
      <c r="AF32" s="22" t="n">
        <v>10041.6669921875</v>
      </c>
      <c r="AG32" s="22" t="n">
        <v>10125</v>
      </c>
      <c r="AH32" s="22" t="n">
        <v>10958.3330078125</v>
      </c>
      <c r="AI32" s="22" t="n">
        <v>10958.3330078125</v>
      </c>
      <c r="AJ32" s="22" t="n">
        <v>10333.3330078125</v>
      </c>
      <c r="AK32" s="22" t="n">
        <v>10583.3330078125</v>
      </c>
      <c r="AL32" s="22" t="n">
        <v>10250</v>
      </c>
      <c r="AM32" s="22" t="n">
        <v>10333.3330078125</v>
      </c>
      <c r="AN32" s="22" t="n">
        <v>10416.6669921875</v>
      </c>
      <c r="AO32" s="22" t="n">
        <v>10458.3330078125</v>
      </c>
      <c r="AP32" s="22" t="n">
        <v>10375</v>
      </c>
      <c r="AQ32" s="22" t="n">
        <v>10333.3330078125</v>
      </c>
      <c r="AR32" s="22" t="n">
        <v>10000</v>
      </c>
      <c r="AS32" s="22" t="n">
        <v>10041.6669921875</v>
      </c>
      <c r="AT32" s="22" t="n">
        <v>10041.6669921875</v>
      </c>
      <c r="AU32" s="22" t="n">
        <v>10166.6669921875</v>
      </c>
      <c r="AV32" s="22" t="n">
        <v>9666.6669921875</v>
      </c>
      <c r="AW32" s="22" t="n">
        <v>9375</v>
      </c>
      <c r="AX32" s="22" t="n">
        <v>9375</v>
      </c>
      <c r="AY32" s="22" t="n">
        <v>9458.3330078125</v>
      </c>
      <c r="AZ32" s="22" t="n">
        <v>9583.3330078125</v>
      </c>
      <c r="BA32" s="22" t="n">
        <v>10625</v>
      </c>
      <c r="BB32" s="22" t="n">
        <v>10541.6669921875</v>
      </c>
      <c r="BC32" s="22" t="n">
        <v>10500</v>
      </c>
      <c r="BD32" s="22" t="n">
        <v>10416.6669921875</v>
      </c>
      <c r="BE32" s="22" t="n">
        <v>11250</v>
      </c>
      <c r="BF32" s="22" t="n">
        <v>11583.3330078125</v>
      </c>
      <c r="BG32" s="22" t="n">
        <v>12000</v>
      </c>
      <c r="BH32" s="22" t="n">
        <v>12750</v>
      </c>
      <c r="BI32" s="24">
        <f>MIN(E32:BH32)</f>
        <v/>
      </c>
      <c r="BJ32" s="24">
        <f>MAX(E32:BH32)</f>
        <v/>
      </c>
      <c r="BK32" s="24">
        <f>AVERAGE(E32:BH32)</f>
        <v/>
      </c>
    </row>
    <row r="33" ht="19" customHeight="1">
      <c r="A33" s="69" t="n">
        <v>32</v>
      </c>
      <c r="B33" s="20" t="inlineStr">
        <is>
          <t>HCM</t>
        </is>
      </c>
      <c r="C33" s="21" t="inlineStr">
        <is>
          <t>Ngân Hàng &amp; Tài Chính</t>
        </is>
      </c>
      <c r="D33" s="69" t="inlineStr">
        <is>
          <t>HOSE</t>
        </is>
      </c>
      <c r="E33" s="22" t="n">
        <v>26100</v>
      </c>
      <c r="F33" s="22" t="n">
        <v>26550</v>
      </c>
      <c r="G33" s="22" t="n">
        <v>25600</v>
      </c>
      <c r="H33" s="22" t="n">
        <v>25600</v>
      </c>
      <c r="I33" s="22" t="n">
        <v>26100</v>
      </c>
      <c r="J33" s="22" t="n">
        <v>25650</v>
      </c>
      <c r="K33" s="22" t="n">
        <v>20512.689453125</v>
      </c>
      <c r="L33" s="22" t="n">
        <v>20850</v>
      </c>
      <c r="M33" s="22" t="n">
        <v>23200</v>
      </c>
      <c r="N33" s="22" t="n">
        <v>24350</v>
      </c>
      <c r="O33" s="22" t="n">
        <v>24900</v>
      </c>
      <c r="P33" s="22" t="n">
        <v>25150</v>
      </c>
      <c r="Q33" s="22" t="n">
        <v>25900</v>
      </c>
      <c r="R33" s="22" t="n">
        <v>28200</v>
      </c>
      <c r="S33" s="22" t="n">
        <v>28750</v>
      </c>
      <c r="T33" s="22" t="n">
        <v>28200</v>
      </c>
      <c r="U33" s="22" t="n">
        <v>28200</v>
      </c>
      <c r="V33" s="22" t="n">
        <v>29700</v>
      </c>
      <c r="W33" s="22" t="n">
        <v>27250</v>
      </c>
      <c r="X33" s="22" t="n">
        <v>26850</v>
      </c>
      <c r="Y33" s="22" t="n">
        <v>26750</v>
      </c>
      <c r="Z33" s="22" t="n">
        <v>26450</v>
      </c>
      <c r="AA33" s="22" t="n">
        <v>27250</v>
      </c>
      <c r="AB33" s="22" t="n">
        <v>26800</v>
      </c>
      <c r="AC33" s="22" t="n">
        <v>24400</v>
      </c>
      <c r="AD33" s="22" t="n">
        <v>23550</v>
      </c>
      <c r="AE33" s="22" t="n">
        <v>21900</v>
      </c>
      <c r="AF33" s="22" t="n">
        <v>22600</v>
      </c>
      <c r="AG33" s="22" t="n">
        <v>22500</v>
      </c>
      <c r="AH33" s="22" t="n">
        <v>22150</v>
      </c>
      <c r="AI33" s="22" t="n">
        <v>22850</v>
      </c>
      <c r="AJ33" s="22" t="n">
        <v>22350</v>
      </c>
      <c r="AK33" s="22" t="n">
        <v>23100</v>
      </c>
      <c r="AL33" s="22" t="n">
        <v>22900</v>
      </c>
      <c r="AM33" s="22" t="n">
        <v>22400</v>
      </c>
      <c r="AN33" s="22" t="n">
        <v>22600</v>
      </c>
      <c r="AO33" s="22" t="n">
        <v>26500</v>
      </c>
      <c r="AP33" s="22" t="n">
        <v>23650</v>
      </c>
      <c r="AQ33" s="22" t="n">
        <v>23550</v>
      </c>
      <c r="AR33" s="22" t="n">
        <v>22500</v>
      </c>
      <c r="AS33" s="22" t="n">
        <v>23600</v>
      </c>
      <c r="AT33" s="22" t="n">
        <v>23600</v>
      </c>
      <c r="AU33" s="22" t="n">
        <v>24250</v>
      </c>
      <c r="AV33" s="22" t="n">
        <v>23350</v>
      </c>
      <c r="AW33" s="22" t="n">
        <v>21650</v>
      </c>
      <c r="AX33" s="22" t="n">
        <v>20500</v>
      </c>
      <c r="AY33" s="22" t="n">
        <v>22250</v>
      </c>
      <c r="AZ33" s="22" t="n">
        <v>24150</v>
      </c>
      <c r="BA33" s="22" t="n">
        <v>25300</v>
      </c>
      <c r="BB33" s="22" t="n">
        <v>27000</v>
      </c>
      <c r="BC33" s="22" t="n">
        <v>26200</v>
      </c>
      <c r="BD33" s="22" t="n">
        <v>26750</v>
      </c>
      <c r="BE33" s="22" t="n">
        <v>27950</v>
      </c>
      <c r="BF33" s="22" t="n">
        <v>28750</v>
      </c>
      <c r="BG33" s="22" t="n">
        <v>28500</v>
      </c>
      <c r="BH33" s="22" t="n">
        <v>27450</v>
      </c>
      <c r="BI33" s="24">
        <f>MIN(E33:BH33)</f>
        <v/>
      </c>
      <c r="BJ33" s="24">
        <f>MAX(E33:BH33)</f>
        <v/>
      </c>
      <c r="BK33" s="24">
        <f>AVERAGE(E33:BH33)</f>
        <v/>
      </c>
    </row>
    <row r="34" ht="19" customHeight="1">
      <c r="A34" s="69" t="n">
        <v>33</v>
      </c>
      <c r="B34" s="20" t="inlineStr">
        <is>
          <t>ORS</t>
        </is>
      </c>
      <c r="C34" s="21" t="inlineStr">
        <is>
          <t>Ngân Hàng &amp; Tài Chính</t>
        </is>
      </c>
      <c r="D34" s="69" t="inlineStr">
        <is>
          <t>HOSE</t>
        </is>
      </c>
      <c r="E34" s="22" t="n">
        <v>8450</v>
      </c>
      <c r="F34" s="22" t="n">
        <v>8910</v>
      </c>
      <c r="G34" s="22" t="n">
        <v>8470</v>
      </c>
      <c r="H34" s="22" t="n">
        <v>8730</v>
      </c>
      <c r="I34" s="22" t="n">
        <v>8830</v>
      </c>
      <c r="J34" s="22" t="n">
        <v>9260</v>
      </c>
      <c r="K34" s="22" t="n">
        <v>9400</v>
      </c>
      <c r="L34" s="22" t="n">
        <v>9140</v>
      </c>
      <c r="M34" s="22" t="n">
        <v>9400</v>
      </c>
      <c r="N34" s="22" t="n">
        <v>10300</v>
      </c>
      <c r="O34" s="22" t="n">
        <v>10650</v>
      </c>
      <c r="P34" s="22" t="n">
        <v>10800</v>
      </c>
      <c r="Q34" s="22" t="n">
        <v>10900</v>
      </c>
      <c r="R34" s="22" t="n">
        <v>12400</v>
      </c>
      <c r="S34" s="22" t="n">
        <v>12750</v>
      </c>
      <c r="T34" s="22" t="n">
        <v>13300</v>
      </c>
      <c r="U34" s="22" t="n">
        <v>15450</v>
      </c>
      <c r="V34" s="22" t="n">
        <v>16400</v>
      </c>
      <c r="W34" s="22" t="n">
        <v>15500</v>
      </c>
      <c r="X34" s="22" t="n">
        <v>14900</v>
      </c>
      <c r="Y34" s="22" t="n">
        <v>14300</v>
      </c>
      <c r="Z34" s="22" t="n">
        <v>13650</v>
      </c>
      <c r="AA34" s="22" t="n">
        <v>14500</v>
      </c>
      <c r="AB34" s="22" t="n">
        <v>16050</v>
      </c>
      <c r="AC34" s="22" t="n">
        <v>14750</v>
      </c>
      <c r="AD34" s="22" t="n">
        <v>15250</v>
      </c>
      <c r="AE34" s="22" t="n">
        <v>14000</v>
      </c>
      <c r="AF34" s="22" t="n">
        <v>14100</v>
      </c>
      <c r="AG34" s="22" t="n">
        <v>13900</v>
      </c>
      <c r="AH34" s="22" t="n">
        <v>13650</v>
      </c>
      <c r="AI34" s="22" t="n">
        <v>13700</v>
      </c>
      <c r="AJ34" s="22" t="n">
        <v>13250</v>
      </c>
      <c r="AK34" s="22" t="n">
        <v>13400</v>
      </c>
      <c r="AL34" s="22" t="n">
        <v>13400</v>
      </c>
      <c r="AM34" s="22" t="n">
        <v>13150</v>
      </c>
      <c r="AN34" s="22" t="n">
        <v>13000</v>
      </c>
      <c r="AO34" s="22" t="n">
        <v>13400</v>
      </c>
      <c r="AP34" s="22" t="n">
        <v>13450</v>
      </c>
      <c r="AQ34" s="22" t="n">
        <v>14250</v>
      </c>
      <c r="AR34" s="22" t="n">
        <v>13150</v>
      </c>
      <c r="AS34" s="22" t="n">
        <v>13300</v>
      </c>
      <c r="AT34" s="22" t="n">
        <v>13300</v>
      </c>
      <c r="AU34" s="22" t="n">
        <v>14000</v>
      </c>
      <c r="AV34" s="22" t="n">
        <v>14600</v>
      </c>
      <c r="AW34" s="22" t="n">
        <v>13100</v>
      </c>
      <c r="AX34" s="22" t="n">
        <v>12750</v>
      </c>
      <c r="AY34" s="22" t="n">
        <v>13150</v>
      </c>
      <c r="AZ34" s="22" t="n">
        <v>13200</v>
      </c>
      <c r="BA34" s="22" t="n">
        <v>13600</v>
      </c>
      <c r="BB34" s="22" t="n">
        <v>13450</v>
      </c>
      <c r="BC34" s="22" t="n">
        <v>13150</v>
      </c>
      <c r="BD34" s="22" t="n">
        <v>13150</v>
      </c>
      <c r="BE34" s="22" t="n">
        <v>13500</v>
      </c>
      <c r="BF34" s="22" t="n">
        <v>13500</v>
      </c>
      <c r="BG34" s="22" t="n">
        <v>13200</v>
      </c>
      <c r="BH34" s="22" t="n">
        <v>13000</v>
      </c>
      <c r="BI34" s="24">
        <f>MIN(E34:BH34)</f>
        <v/>
      </c>
      <c r="BJ34" s="24">
        <f>MAX(E34:BH34)</f>
        <v/>
      </c>
      <c r="BK34" s="24">
        <f>AVERAGE(E34:BH34)</f>
        <v/>
      </c>
    </row>
    <row r="35" ht="19" customHeight="1">
      <c r="A35" s="69" t="n">
        <v>34</v>
      </c>
      <c r="B35" s="20" t="inlineStr">
        <is>
          <t>VIX</t>
        </is>
      </c>
      <c r="C35" s="21" t="inlineStr">
        <is>
          <t>Ngân Hàng &amp; Tài Chính</t>
        </is>
      </c>
      <c r="D35" s="69" t="inlineStr">
        <is>
          <t>HOSE</t>
        </is>
      </c>
      <c r="E35" s="22" t="n">
        <v>9498.3681640625</v>
      </c>
      <c r="F35" s="22" t="n">
        <v>10034.56640625</v>
      </c>
      <c r="G35" s="22" t="n">
        <v>10379.265625</v>
      </c>
      <c r="H35" s="22" t="n">
        <v>10647.3642578125</v>
      </c>
      <c r="I35" s="22" t="n">
        <v>10609.064453125</v>
      </c>
      <c r="J35" s="22" t="n">
        <v>10264.3662109375</v>
      </c>
      <c r="K35" s="22" t="n">
        <v>10013.501953125</v>
      </c>
      <c r="L35" s="22" t="n">
        <v>10214.576171875</v>
      </c>
      <c r="M35" s="22" t="n">
        <v>11380.8076171875</v>
      </c>
      <c r="N35" s="22" t="n">
        <v>12547.0380859375</v>
      </c>
      <c r="O35" s="22" t="n">
        <v>14195.84765625</v>
      </c>
      <c r="P35" s="22" t="n">
        <v>18096.689453125</v>
      </c>
      <c r="Q35" s="22" t="n">
        <v>21957.31640625</v>
      </c>
      <c r="R35" s="22" t="n">
        <v>22801.830078125</v>
      </c>
      <c r="S35" s="22" t="n">
        <v>26099.44921875</v>
      </c>
      <c r="T35" s="22" t="n">
        <v>28150.40625</v>
      </c>
      <c r="U35" s="22" t="n">
        <v>30885.017578125</v>
      </c>
      <c r="V35" s="22" t="n">
        <v>30161.150390625</v>
      </c>
      <c r="W35" s="22" t="n">
        <v>27989.546875</v>
      </c>
      <c r="X35" s="22" t="n">
        <v>29759.001953125</v>
      </c>
      <c r="Y35" s="22" t="n">
        <v>29960.076171875</v>
      </c>
      <c r="Z35" s="22" t="n">
        <v>29115.5625</v>
      </c>
      <c r="AA35" s="22" t="n">
        <v>30643.728515625</v>
      </c>
      <c r="AB35" s="22" t="n">
        <v>31809.958984375</v>
      </c>
      <c r="AC35" s="22" t="n">
        <v>26622.2421875</v>
      </c>
      <c r="AD35" s="22" t="n">
        <v>23565.912109375</v>
      </c>
      <c r="AE35" s="22" t="n">
        <v>19705.28515625</v>
      </c>
      <c r="AF35" s="22" t="n">
        <v>20750.87109375</v>
      </c>
      <c r="AG35" s="22" t="n">
        <v>18740.126953125</v>
      </c>
      <c r="AH35" s="22" t="n">
        <v>19705.28515625</v>
      </c>
      <c r="AI35" s="22" t="n">
        <v>19624.85546875</v>
      </c>
      <c r="AJ35" s="22" t="n">
        <v>17533.681640625</v>
      </c>
      <c r="AK35" s="22" t="n">
        <v>17935.830078125</v>
      </c>
      <c r="AL35" s="22" t="n">
        <v>18337.978515625</v>
      </c>
      <c r="AM35" s="22" t="n">
        <v>18096.689453125</v>
      </c>
      <c r="AN35" s="22" t="n">
        <v>17211.962890625</v>
      </c>
      <c r="AO35" s="22" t="n">
        <v>19866.14453125</v>
      </c>
      <c r="AP35" s="22" t="n">
        <v>19544.42578125</v>
      </c>
      <c r="AQ35" s="22" t="n">
        <v>18177.119140625</v>
      </c>
      <c r="AR35" s="22" t="n">
        <v>17051.103515625</v>
      </c>
      <c r="AS35" s="22" t="n">
        <v>18136.904296875</v>
      </c>
      <c r="AT35" s="22" t="n">
        <v>18136.904296875</v>
      </c>
      <c r="AU35" s="22" t="n">
        <v>18096.689453125</v>
      </c>
      <c r="AV35" s="22" t="n">
        <v>16809.5234375</v>
      </c>
      <c r="AW35" s="22" t="n">
        <v>15666.6669921875</v>
      </c>
      <c r="AX35" s="22" t="n">
        <v>15476.1904296875</v>
      </c>
      <c r="AY35" s="22" t="n">
        <v>15952.380859375</v>
      </c>
      <c r="AZ35" s="22" t="n">
        <v>15428.5712890625</v>
      </c>
      <c r="BA35" s="22" t="n">
        <v>17190.4765625</v>
      </c>
      <c r="BB35" s="22" t="n">
        <v>16666.666015625</v>
      </c>
      <c r="BC35" s="22" t="n">
        <v>15809.5234375</v>
      </c>
      <c r="BD35" s="22" t="n">
        <v>15904.76171875</v>
      </c>
      <c r="BE35" s="22" t="n">
        <v>17714.28515625</v>
      </c>
      <c r="BF35" s="22" t="n">
        <v>17857.142578125</v>
      </c>
      <c r="BG35" s="22" t="n">
        <v>17666.666015625</v>
      </c>
      <c r="BH35" s="22" t="n">
        <v>16857.142578125</v>
      </c>
      <c r="BI35" s="24">
        <f>MIN(E35:BH35)</f>
        <v/>
      </c>
      <c r="BJ35" s="24">
        <f>MAX(E35:BH35)</f>
        <v/>
      </c>
      <c r="BK35" s="24">
        <f>AVERAGE(E35:BH35)</f>
        <v/>
      </c>
    </row>
    <row r="36" ht="19" customHeight="1">
      <c r="A36" s="69" t="n">
        <v>35</v>
      </c>
      <c r="B36" s="20" t="inlineStr">
        <is>
          <t>NAB</t>
        </is>
      </c>
      <c r="C36" s="21" t="inlineStr">
        <is>
          <t>Ngân Hàng &amp; Tài Chính</t>
        </is>
      </c>
      <c r="D36" s="69" t="inlineStr">
        <is>
          <t>HOSE</t>
        </is>
      </c>
      <c r="E36" s="22" t="n">
        <v>11400</v>
      </c>
      <c r="F36" s="22" t="n">
        <v>11633.3330078125</v>
      </c>
      <c r="G36" s="22" t="n">
        <v>11366.6669921875</v>
      </c>
      <c r="H36" s="22" t="n">
        <v>11433.3330078125</v>
      </c>
      <c r="I36" s="22" t="n">
        <v>11200</v>
      </c>
      <c r="J36" s="22" t="n">
        <v>11000</v>
      </c>
      <c r="K36" s="22" t="n">
        <v>11000</v>
      </c>
      <c r="L36" s="22" t="n">
        <v>10966.6669921875</v>
      </c>
      <c r="M36" s="22" t="n">
        <v>11300</v>
      </c>
      <c r="N36" s="22" t="n">
        <v>12333.3330078125</v>
      </c>
      <c r="O36" s="22" t="n">
        <v>12166.6669921875</v>
      </c>
      <c r="P36" s="22" t="n">
        <v>12500</v>
      </c>
      <c r="Q36" s="22" t="n">
        <v>12583.3330078125</v>
      </c>
      <c r="R36" s="22" t="n">
        <v>12833.3330078125</v>
      </c>
      <c r="S36" s="22" t="n">
        <v>13583.3330078125</v>
      </c>
      <c r="T36" s="22" t="n">
        <v>13541.6669921875</v>
      </c>
      <c r="U36" s="22" t="n">
        <v>13250</v>
      </c>
      <c r="V36" s="22" t="n">
        <v>13583.3330078125</v>
      </c>
      <c r="W36" s="22" t="n">
        <v>12750</v>
      </c>
      <c r="X36" s="22" t="n">
        <v>12666.6669921875</v>
      </c>
      <c r="Y36" s="22" t="n">
        <v>12541.6669921875</v>
      </c>
      <c r="Z36" s="22" t="n">
        <v>12333.3330078125</v>
      </c>
      <c r="AA36" s="22" t="n">
        <v>12541.6669921875</v>
      </c>
      <c r="AB36" s="22" t="n">
        <v>12333.3330078125</v>
      </c>
      <c r="AC36" s="22" t="n">
        <v>11875</v>
      </c>
      <c r="AD36" s="22" t="n">
        <v>11875</v>
      </c>
      <c r="AE36" s="22" t="n">
        <v>12000</v>
      </c>
      <c r="AF36" s="22" t="n">
        <v>11916.6669921875</v>
      </c>
      <c r="AG36" s="22" t="n">
        <v>12041.6669921875</v>
      </c>
      <c r="AH36" s="22" t="n">
        <v>11916.6669921875</v>
      </c>
      <c r="AI36" s="22" t="n">
        <v>12041.6669921875</v>
      </c>
      <c r="AJ36" s="22" t="n">
        <v>11750</v>
      </c>
      <c r="AK36" s="22" t="n">
        <v>12083.3330078125</v>
      </c>
      <c r="AL36" s="22" t="n">
        <v>11833.3330078125</v>
      </c>
      <c r="AM36" s="22" t="n">
        <v>11916.6669921875</v>
      </c>
      <c r="AN36" s="22" t="n">
        <v>12208.3330078125</v>
      </c>
      <c r="AO36" s="22" t="n">
        <v>12375</v>
      </c>
      <c r="AP36" s="22" t="n">
        <v>12125</v>
      </c>
      <c r="AQ36" s="22" t="n">
        <v>11791.6669921875</v>
      </c>
      <c r="AR36" s="22" t="n">
        <v>11666.6669921875</v>
      </c>
      <c r="AS36" s="22" t="n">
        <v>11708.3330078125</v>
      </c>
      <c r="AT36" s="22" t="n">
        <v>11708.3330078125</v>
      </c>
      <c r="AU36" s="22" t="n">
        <v>11666.6669921875</v>
      </c>
      <c r="AV36" s="22" t="n">
        <v>11375</v>
      </c>
      <c r="AW36" s="22" t="n">
        <v>10666.6669921875</v>
      </c>
      <c r="AX36" s="22" t="n">
        <v>10083.3330078125</v>
      </c>
      <c r="AY36" s="22" t="n">
        <v>11000</v>
      </c>
      <c r="AZ36" s="22" t="n">
        <v>10791.6669921875</v>
      </c>
      <c r="BA36" s="22" t="n">
        <v>11291.6669921875</v>
      </c>
      <c r="BB36" s="22" t="n">
        <v>11250</v>
      </c>
      <c r="BC36" s="22" t="n">
        <v>11833.3330078125</v>
      </c>
      <c r="BD36" s="22" t="n">
        <v>11750</v>
      </c>
      <c r="BE36" s="22" t="n">
        <v>12375</v>
      </c>
      <c r="BF36" s="22" t="n">
        <v>12350</v>
      </c>
      <c r="BG36" s="22" t="n">
        <v>12300</v>
      </c>
      <c r="BH36" s="22" t="n">
        <v>11700</v>
      </c>
      <c r="BI36" s="24">
        <f>MIN(E36:BH36)</f>
        <v/>
      </c>
      <c r="BJ36" s="24">
        <f>MAX(E36:BH36)</f>
        <v/>
      </c>
      <c r="BK36" s="24">
        <f>AVERAGE(E36:BH36)</f>
        <v/>
      </c>
    </row>
    <row r="37" ht="19" customHeight="1">
      <c r="A37" s="69" t="n">
        <v>36</v>
      </c>
      <c r="B37" s="20" t="inlineStr">
        <is>
          <t>OCB</t>
        </is>
      </c>
      <c r="C37" s="21" t="inlineStr">
        <is>
          <t>Ngân Hàng &amp; Tài Chính</t>
        </is>
      </c>
      <c r="D37" s="69" t="inlineStr">
        <is>
          <t>HOSE</t>
        </is>
      </c>
      <c r="E37" s="22" t="n">
        <v>8454.1064453125</v>
      </c>
      <c r="F37" s="22" t="n">
        <v>8856.6826171875</v>
      </c>
      <c r="G37" s="22" t="n">
        <v>8655.39453125</v>
      </c>
      <c r="H37" s="22" t="n">
        <v>8695.65234375</v>
      </c>
      <c r="I37" s="22" t="n">
        <v>8735.91015625</v>
      </c>
      <c r="J37" s="22" t="n">
        <v>9219.001953125</v>
      </c>
      <c r="K37" s="22" t="n">
        <v>9380.0322265625</v>
      </c>
      <c r="L37" s="22" t="n">
        <v>9420.2900390625</v>
      </c>
      <c r="M37" s="22" t="n">
        <v>9661.8359375</v>
      </c>
      <c r="N37" s="22" t="n">
        <v>10305.9580078125</v>
      </c>
      <c r="O37" s="22" t="n">
        <v>9983.896484375</v>
      </c>
      <c r="P37" s="22" t="n">
        <v>10426.7314453125</v>
      </c>
      <c r="Q37" s="22" t="n">
        <v>10587.76171875</v>
      </c>
      <c r="R37" s="22" t="n">
        <v>11826.0869140625</v>
      </c>
      <c r="S37" s="22" t="n">
        <v>11478.2607421875</v>
      </c>
      <c r="T37" s="22" t="n">
        <v>12695.65234375</v>
      </c>
      <c r="U37" s="22" t="n">
        <v>11826.0869140625</v>
      </c>
      <c r="V37" s="22" t="n">
        <v>12304.34765625</v>
      </c>
      <c r="W37" s="22" t="n">
        <v>11347.826171875</v>
      </c>
      <c r="X37" s="22" t="n">
        <v>11260.869140625</v>
      </c>
      <c r="Y37" s="22" t="n">
        <v>11217.3916015625</v>
      </c>
      <c r="Z37" s="22" t="n">
        <v>11217.3916015625</v>
      </c>
      <c r="AA37" s="22" t="n">
        <v>11391.3046875</v>
      </c>
      <c r="AB37" s="22" t="n">
        <v>11304.34765625</v>
      </c>
      <c r="AC37" s="22" t="n">
        <v>11217.3916015625</v>
      </c>
      <c r="AD37" s="22" t="n">
        <v>11652.173828125</v>
      </c>
      <c r="AE37" s="22" t="n">
        <v>10565.2177734375</v>
      </c>
      <c r="AF37" s="22" t="n">
        <v>10695.65234375</v>
      </c>
      <c r="AG37" s="22" t="n">
        <v>10565.2177734375</v>
      </c>
      <c r="AH37" s="22" t="n">
        <v>10695.65234375</v>
      </c>
      <c r="AI37" s="22" t="n">
        <v>10782.6083984375</v>
      </c>
      <c r="AJ37" s="22" t="n">
        <v>10347.826171875</v>
      </c>
      <c r="AK37" s="22" t="n">
        <v>10434.7822265625</v>
      </c>
      <c r="AL37" s="22" t="n">
        <v>10478.2607421875</v>
      </c>
      <c r="AM37" s="22" t="n">
        <v>10391.3046875</v>
      </c>
      <c r="AN37" s="22" t="n">
        <v>10260.869140625</v>
      </c>
      <c r="AO37" s="22" t="n">
        <v>10521.7392578125</v>
      </c>
      <c r="AP37" s="22" t="n">
        <v>10347.826171875</v>
      </c>
      <c r="AQ37" s="22" t="n">
        <v>10260.869140625</v>
      </c>
      <c r="AR37" s="22" t="n">
        <v>10043.478515625</v>
      </c>
      <c r="AS37" s="22" t="n">
        <v>10086.9560546875</v>
      </c>
      <c r="AT37" s="22" t="n">
        <v>10086.9560546875</v>
      </c>
      <c r="AU37" s="22" t="n">
        <v>10130.4345703125</v>
      </c>
      <c r="AV37" s="22" t="n">
        <v>9695.65234375</v>
      </c>
      <c r="AW37" s="22" t="n">
        <v>9304.34765625</v>
      </c>
      <c r="AX37" s="22" t="n">
        <v>9478.2607421875</v>
      </c>
      <c r="AY37" s="22" t="n">
        <v>9739.130859375</v>
      </c>
      <c r="AZ37" s="22" t="n">
        <v>9565.2177734375</v>
      </c>
      <c r="BA37" s="22" t="n">
        <v>10086.9560546875</v>
      </c>
      <c r="BB37" s="22" t="n">
        <v>10217.3916015625</v>
      </c>
      <c r="BC37" s="22" t="n">
        <v>9956.521484375</v>
      </c>
      <c r="BD37" s="22" t="n">
        <v>9782.6083984375</v>
      </c>
      <c r="BE37" s="22" t="n">
        <v>9782.6083984375</v>
      </c>
      <c r="BF37" s="22" t="n">
        <v>9782.6083984375</v>
      </c>
      <c r="BG37" s="22" t="n">
        <v>9652.173828125</v>
      </c>
      <c r="BH37" s="22" t="n">
        <v>10043.478515625</v>
      </c>
      <c r="BI37" s="24">
        <f>MIN(E37:BH37)</f>
        <v/>
      </c>
      <c r="BJ37" s="24">
        <f>MAX(E37:BH37)</f>
        <v/>
      </c>
      <c r="BK37" s="24">
        <f>AVERAGE(E37:BH37)</f>
        <v/>
      </c>
    </row>
    <row r="38" ht="19" customHeight="1">
      <c r="A38" s="69" t="n">
        <v>37</v>
      </c>
      <c r="B38" s="20" t="inlineStr">
        <is>
          <t>EIB</t>
        </is>
      </c>
      <c r="C38" s="21" t="inlineStr">
        <is>
          <t>Ngân Hàng &amp; Tài Chính</t>
        </is>
      </c>
      <c r="D38" s="69" t="inlineStr">
        <is>
          <t>HOSE</t>
        </is>
      </c>
      <c r="E38" s="22" t="n">
        <v>19250</v>
      </c>
      <c r="F38" s="22" t="n">
        <v>19850</v>
      </c>
      <c r="G38" s="22" t="n">
        <v>21100</v>
      </c>
      <c r="H38" s="22" t="n">
        <v>22900</v>
      </c>
      <c r="I38" s="22" t="n">
        <v>24300</v>
      </c>
      <c r="J38" s="22" t="n">
        <v>23100</v>
      </c>
      <c r="K38" s="22" t="n">
        <v>23150</v>
      </c>
      <c r="L38" s="22" t="n">
        <v>23250</v>
      </c>
      <c r="M38" s="22" t="n">
        <v>23200</v>
      </c>
      <c r="N38" s="22" t="n">
        <v>23700</v>
      </c>
      <c r="O38" s="22" t="n">
        <v>24550</v>
      </c>
      <c r="P38" s="22" t="n">
        <v>27050</v>
      </c>
      <c r="Q38" s="22" t="n">
        <v>27000</v>
      </c>
      <c r="R38" s="22" t="n">
        <v>27100</v>
      </c>
      <c r="S38" s="22" t="n">
        <v>28300</v>
      </c>
      <c r="T38" s="22" t="n">
        <v>31100</v>
      </c>
      <c r="U38" s="22" t="n">
        <v>29250</v>
      </c>
      <c r="V38" s="22" t="n">
        <v>29800</v>
      </c>
      <c r="W38" s="22" t="n">
        <v>27000</v>
      </c>
      <c r="X38" s="22" t="n">
        <v>26650</v>
      </c>
      <c r="Y38" s="22" t="n">
        <v>26200</v>
      </c>
      <c r="Z38" s="22" t="n">
        <v>25650</v>
      </c>
      <c r="AA38" s="22" t="n">
        <v>26750</v>
      </c>
      <c r="AB38" s="22" t="n">
        <v>26600</v>
      </c>
      <c r="AC38" s="22" t="n">
        <v>23100</v>
      </c>
      <c r="AD38" s="22" t="n">
        <v>22650</v>
      </c>
      <c r="AE38" s="22" t="n">
        <v>21450</v>
      </c>
      <c r="AF38" s="22" t="n">
        <v>21350</v>
      </c>
      <c r="AG38" s="22" t="n">
        <v>22300</v>
      </c>
      <c r="AH38" s="22" t="n">
        <v>22000</v>
      </c>
      <c r="AI38" s="22" t="n">
        <v>22750</v>
      </c>
      <c r="AJ38" s="22" t="n">
        <v>20700</v>
      </c>
      <c r="AK38" s="22" t="n">
        <v>21500</v>
      </c>
      <c r="AL38" s="22" t="n">
        <v>21550</v>
      </c>
      <c r="AM38" s="22" t="n">
        <v>21300</v>
      </c>
      <c r="AN38" s="22" t="n">
        <v>21300</v>
      </c>
      <c r="AO38" s="22" t="n">
        <v>23000</v>
      </c>
      <c r="AP38" s="22" t="n">
        <v>22550</v>
      </c>
      <c r="AQ38" s="22" t="n">
        <v>20850</v>
      </c>
      <c r="AR38" s="22" t="n">
        <v>20600</v>
      </c>
      <c r="AS38" s="22" t="n">
        <v>23100</v>
      </c>
      <c r="AT38" s="22" t="n">
        <v>23100</v>
      </c>
      <c r="AU38" s="22" t="n">
        <v>23400</v>
      </c>
      <c r="AV38" s="22" t="n">
        <v>22050</v>
      </c>
      <c r="AW38" s="22" t="n">
        <v>22500</v>
      </c>
      <c r="AX38" s="22" t="n">
        <v>22250</v>
      </c>
      <c r="AY38" s="22" t="n">
        <v>22750</v>
      </c>
      <c r="AZ38" s="22" t="n">
        <v>22150</v>
      </c>
      <c r="BA38" s="22" t="n">
        <v>23100</v>
      </c>
      <c r="BB38" s="22" t="n">
        <v>22400</v>
      </c>
      <c r="BC38" s="22" t="n">
        <v>22350</v>
      </c>
      <c r="BD38" s="22" t="n">
        <v>21750</v>
      </c>
      <c r="BE38" s="22" t="n">
        <v>22150</v>
      </c>
      <c r="BF38" s="22" t="n">
        <v>21850</v>
      </c>
      <c r="BG38" s="22" t="n">
        <v>21200</v>
      </c>
      <c r="BH38" s="22" t="n">
        <v>21300</v>
      </c>
      <c r="BI38" s="24">
        <f>MIN(E38:BH38)</f>
        <v/>
      </c>
      <c r="BJ38" s="24">
        <f>MAX(E38:BH38)</f>
        <v/>
      </c>
      <c r="BK38" s="24">
        <f>AVERAGE(E38:BH38)</f>
        <v/>
      </c>
    </row>
    <row r="39" ht="19" customHeight="1">
      <c r="A39" s="69" t="n">
        <v>38</v>
      </c>
      <c r="B39" s="20" t="inlineStr">
        <is>
          <t>AGR</t>
        </is>
      </c>
      <c r="C39" s="21" t="inlineStr">
        <is>
          <t>Ngân Hàng &amp; Tài Chính</t>
        </is>
      </c>
      <c r="D39" s="69" t="inlineStr">
        <is>
          <t>HOSE</t>
        </is>
      </c>
      <c r="E39" s="22" t="n">
        <v>15100</v>
      </c>
      <c r="F39" s="22" t="n">
        <v>15500</v>
      </c>
      <c r="G39" s="22" t="n">
        <v>14198.11328125</v>
      </c>
      <c r="H39" s="22" t="n">
        <v>14386.7919921875</v>
      </c>
      <c r="I39" s="22" t="n">
        <v>15000</v>
      </c>
      <c r="J39" s="22" t="n">
        <v>14750</v>
      </c>
      <c r="K39" s="22" t="n">
        <v>14600</v>
      </c>
      <c r="L39" s="22" t="n">
        <v>14550</v>
      </c>
      <c r="M39" s="22" t="n">
        <v>15000</v>
      </c>
      <c r="N39" s="22" t="n">
        <v>15700</v>
      </c>
      <c r="O39" s="22" t="n">
        <v>16250</v>
      </c>
      <c r="P39" s="22" t="n">
        <v>16550</v>
      </c>
      <c r="Q39" s="22" t="n">
        <v>17900</v>
      </c>
      <c r="R39" s="22" t="n">
        <v>18400</v>
      </c>
      <c r="S39" s="22" t="n">
        <v>18650</v>
      </c>
      <c r="T39" s="22" t="n">
        <v>18250</v>
      </c>
      <c r="U39" s="22" t="n">
        <v>18000</v>
      </c>
      <c r="V39" s="22" t="n">
        <v>20450</v>
      </c>
      <c r="W39" s="22" t="n">
        <v>18400</v>
      </c>
      <c r="X39" s="22" t="n">
        <v>17950</v>
      </c>
      <c r="Y39" s="22" t="n">
        <v>17850</v>
      </c>
      <c r="Z39" s="22" t="n">
        <v>17100</v>
      </c>
      <c r="AA39" s="22" t="n">
        <v>17650</v>
      </c>
      <c r="AB39" s="22" t="n">
        <v>17350</v>
      </c>
      <c r="AC39" s="22" t="n">
        <v>16000</v>
      </c>
      <c r="AD39" s="22" t="n">
        <v>16150</v>
      </c>
      <c r="AE39" s="22" t="n">
        <v>15450</v>
      </c>
      <c r="AF39" s="22" t="n">
        <v>15800</v>
      </c>
      <c r="AG39" s="22" t="n">
        <v>15500</v>
      </c>
      <c r="AH39" s="22" t="n">
        <v>15250</v>
      </c>
      <c r="AI39" s="22" t="n">
        <v>15350</v>
      </c>
      <c r="AJ39" s="22" t="n">
        <v>15500</v>
      </c>
      <c r="AK39" s="22" t="n">
        <v>16550</v>
      </c>
      <c r="AL39" s="22" t="n">
        <v>16450</v>
      </c>
      <c r="AM39" s="22" t="n">
        <v>16100</v>
      </c>
      <c r="AN39" s="22" t="n">
        <v>16600</v>
      </c>
      <c r="AO39" s="22" t="n">
        <v>17900</v>
      </c>
      <c r="AP39" s="22" t="n">
        <v>16250</v>
      </c>
      <c r="AQ39" s="22" t="n">
        <v>16250</v>
      </c>
      <c r="AR39" s="22" t="n">
        <v>15600</v>
      </c>
      <c r="AS39" s="22" t="n">
        <v>16400</v>
      </c>
      <c r="AT39" s="22" t="n">
        <v>16400</v>
      </c>
      <c r="AU39" s="22" t="n">
        <v>16700</v>
      </c>
      <c r="AV39" s="22" t="n">
        <v>15750</v>
      </c>
      <c r="AW39" s="22" t="n">
        <v>14600</v>
      </c>
      <c r="AX39" s="22" t="n">
        <v>14400</v>
      </c>
      <c r="AY39" s="22" t="n">
        <v>14550</v>
      </c>
      <c r="AZ39" s="22" t="n">
        <v>14600</v>
      </c>
      <c r="BA39" s="22" t="n">
        <v>14950</v>
      </c>
      <c r="BB39" s="22" t="n">
        <v>14850</v>
      </c>
      <c r="BC39" s="22" t="n">
        <v>14550</v>
      </c>
      <c r="BD39" s="22" t="n">
        <v>14500</v>
      </c>
      <c r="BE39" s="22" t="n">
        <v>14650</v>
      </c>
      <c r="BF39" s="22" t="n">
        <v>14600</v>
      </c>
      <c r="BG39" s="22" t="n">
        <v>14600</v>
      </c>
      <c r="BH39" s="22" t="n">
        <v>14450</v>
      </c>
      <c r="BI39" s="24">
        <f>MIN(E39:BH39)</f>
        <v/>
      </c>
      <c r="BJ39" s="24">
        <f>MAX(E39:BH39)</f>
        <v/>
      </c>
      <c r="BK39" s="24">
        <f>AVERAGE(E39:BH39)</f>
        <v/>
      </c>
    </row>
    <row r="40" ht="19" customHeight="1">
      <c r="A40" s="69" t="n">
        <v>39</v>
      </c>
      <c r="B40" s="20" t="inlineStr">
        <is>
          <t>VND</t>
        </is>
      </c>
      <c r="C40" s="21" t="inlineStr">
        <is>
          <t>Ngân Hàng &amp; Tài Chính</t>
        </is>
      </c>
      <c r="D40" s="69" t="inlineStr">
        <is>
          <t>HOSE</t>
        </is>
      </c>
      <c r="E40" s="22" t="n">
        <v>14850</v>
      </c>
      <c r="F40" s="22" t="n">
        <v>15400</v>
      </c>
      <c r="G40" s="22" t="n">
        <v>15650</v>
      </c>
      <c r="H40" s="22" t="n">
        <v>15750</v>
      </c>
      <c r="I40" s="22" t="n">
        <v>17100</v>
      </c>
      <c r="J40" s="22" t="n">
        <v>16500</v>
      </c>
      <c r="K40" s="22" t="n">
        <v>16600</v>
      </c>
      <c r="L40" s="22" t="n">
        <v>17150</v>
      </c>
      <c r="M40" s="22" t="n">
        <v>17350</v>
      </c>
      <c r="N40" s="22" t="n">
        <v>17800</v>
      </c>
      <c r="O40" s="22" t="n">
        <v>18500</v>
      </c>
      <c r="P40" s="22" t="n">
        <v>19800</v>
      </c>
      <c r="Q40" s="22" t="n">
        <v>22700</v>
      </c>
      <c r="R40" s="22" t="n">
        <v>23550</v>
      </c>
      <c r="S40" s="22" t="n">
        <v>24200</v>
      </c>
      <c r="T40" s="22" t="n">
        <v>24100</v>
      </c>
      <c r="U40" s="22" t="n">
        <v>24650</v>
      </c>
      <c r="V40" s="22" t="n">
        <v>26800</v>
      </c>
      <c r="W40" s="22" t="n">
        <v>23950</v>
      </c>
      <c r="X40" s="22" t="n">
        <v>23350</v>
      </c>
      <c r="Y40" s="22" t="n">
        <v>22850</v>
      </c>
      <c r="Z40" s="22" t="n">
        <v>22150</v>
      </c>
      <c r="AA40" s="22" t="n">
        <v>23500</v>
      </c>
      <c r="AB40" s="22" t="n">
        <v>23800</v>
      </c>
      <c r="AC40" s="22" t="n">
        <v>20500</v>
      </c>
      <c r="AD40" s="22" t="n">
        <v>20000</v>
      </c>
      <c r="AE40" s="22" t="n">
        <v>18900</v>
      </c>
      <c r="AF40" s="22" t="n">
        <v>19650</v>
      </c>
      <c r="AG40" s="22" t="n">
        <v>19100</v>
      </c>
      <c r="AH40" s="22" t="n">
        <v>18400</v>
      </c>
      <c r="AI40" s="22" t="n">
        <v>19000</v>
      </c>
      <c r="AJ40" s="22" t="n">
        <v>17500</v>
      </c>
      <c r="AK40" s="22" t="n">
        <v>19850</v>
      </c>
      <c r="AL40" s="22" t="n">
        <v>20000</v>
      </c>
      <c r="AM40" s="22" t="n">
        <v>19450</v>
      </c>
      <c r="AN40" s="22" t="n">
        <v>19300</v>
      </c>
      <c r="AO40" s="22" t="n">
        <v>20500</v>
      </c>
      <c r="AP40" s="22" t="n">
        <v>19400</v>
      </c>
      <c r="AQ40" s="22" t="n">
        <v>18500</v>
      </c>
      <c r="AR40" s="22" t="n">
        <v>17650</v>
      </c>
      <c r="AS40" s="22" t="n">
        <v>18600</v>
      </c>
      <c r="AT40" s="22" t="n">
        <v>18600</v>
      </c>
      <c r="AU40" s="22" t="n">
        <v>18700</v>
      </c>
      <c r="AV40" s="22" t="n">
        <v>18150</v>
      </c>
      <c r="AW40" s="22" t="n">
        <v>16250</v>
      </c>
      <c r="AX40" s="22" t="n">
        <v>15350</v>
      </c>
      <c r="AY40" s="22" t="n">
        <v>15850</v>
      </c>
      <c r="AZ40" s="22" t="n">
        <v>15650</v>
      </c>
      <c r="BA40" s="22" t="n">
        <v>16750</v>
      </c>
      <c r="BB40" s="22" t="n">
        <v>16550</v>
      </c>
      <c r="BC40" s="22" t="n">
        <v>16200</v>
      </c>
      <c r="BD40" s="22" t="n">
        <v>16100</v>
      </c>
      <c r="BE40" s="22" t="n">
        <v>16450</v>
      </c>
      <c r="BF40" s="22" t="n">
        <v>16450</v>
      </c>
      <c r="BG40" s="22" t="n">
        <v>17450</v>
      </c>
      <c r="BH40" s="22" t="n">
        <v>16850</v>
      </c>
      <c r="BI40" s="24">
        <f>MIN(E40:BH40)</f>
        <v/>
      </c>
      <c r="BJ40" s="24">
        <f>MAX(E40:BH40)</f>
        <v/>
      </c>
      <c r="BK40" s="24">
        <f>AVERAGE(E40:BH40)</f>
        <v/>
      </c>
    </row>
    <row r="41" ht="19" customHeight="1">
      <c r="A41" s="69" t="n">
        <v>40</v>
      </c>
      <c r="B41" s="20" t="inlineStr">
        <is>
          <t>VCI</t>
        </is>
      </c>
      <c r="C41" s="21" t="inlineStr">
        <is>
          <t>Ngân Hàng &amp; Tài Chính</t>
        </is>
      </c>
      <c r="D41" s="69" t="inlineStr">
        <is>
          <t>HOSE</t>
        </is>
      </c>
      <c r="E41" s="22" t="n">
        <v>27296.296875</v>
      </c>
      <c r="F41" s="22" t="n">
        <v>28074.07421875</v>
      </c>
      <c r="G41" s="22" t="n">
        <v>27037.037109375</v>
      </c>
      <c r="H41" s="22" t="n">
        <v>26777.77734375</v>
      </c>
      <c r="I41" s="22" t="n">
        <v>27296.296875</v>
      </c>
      <c r="J41" s="22" t="n">
        <v>26777.77734375</v>
      </c>
      <c r="K41" s="22" t="n">
        <v>26370.37109375</v>
      </c>
      <c r="L41" s="22" t="n">
        <v>26296.296875</v>
      </c>
      <c r="M41" s="22" t="n">
        <v>27259.259765625</v>
      </c>
      <c r="N41" s="22" t="n">
        <v>28444.4453125</v>
      </c>
      <c r="O41" s="22" t="n">
        <v>30592.591796875</v>
      </c>
      <c r="P41" s="22" t="n">
        <v>30740.740234375</v>
      </c>
      <c r="Q41" s="22" t="n">
        <v>31888.888671875</v>
      </c>
      <c r="R41" s="22" t="n">
        <v>34444.4453125</v>
      </c>
      <c r="S41" s="22" t="n">
        <v>34518.51953125</v>
      </c>
      <c r="T41" s="22" t="n">
        <v>34074.07421875</v>
      </c>
      <c r="U41" s="22" t="n">
        <v>34259.2578125</v>
      </c>
      <c r="V41" s="22" t="n">
        <v>35703.703125</v>
      </c>
      <c r="W41" s="22" t="n">
        <v>32962.96484375</v>
      </c>
      <c r="X41" s="22" t="n">
        <v>32037.037109375</v>
      </c>
      <c r="Y41" s="22" t="n">
        <v>32555.5546875</v>
      </c>
      <c r="Z41" s="22" t="n">
        <v>31185.185546875</v>
      </c>
      <c r="AA41" s="22" t="n">
        <v>31851.8515625</v>
      </c>
      <c r="AB41" s="22" t="n">
        <v>31592.591796875</v>
      </c>
      <c r="AC41" s="22" t="n">
        <v>27259.259765625</v>
      </c>
      <c r="AD41" s="22" t="n">
        <v>27481.482421875</v>
      </c>
      <c r="AE41" s="22" t="n">
        <v>26666.666015625</v>
      </c>
      <c r="AF41" s="22" t="n">
        <v>26481.482421875</v>
      </c>
      <c r="AG41" s="22" t="n">
        <v>25444.4453125</v>
      </c>
      <c r="AH41" s="22" t="n">
        <v>25000</v>
      </c>
      <c r="AI41" s="22" t="n">
        <v>25518.517578125</v>
      </c>
      <c r="AJ41" s="22" t="n">
        <v>24222.22265625</v>
      </c>
      <c r="AK41" s="22" t="n">
        <v>25740.740234375</v>
      </c>
      <c r="AL41" s="22" t="n">
        <v>26370.37109375</v>
      </c>
      <c r="AM41" s="22" t="n">
        <v>26148.1484375</v>
      </c>
      <c r="AN41" s="22" t="n">
        <v>24851.8515625</v>
      </c>
      <c r="AO41" s="22" t="n">
        <v>25703.703125</v>
      </c>
      <c r="AP41" s="22" t="n">
        <v>26592.591796875</v>
      </c>
      <c r="AQ41" s="22" t="n">
        <v>27148.1484375</v>
      </c>
      <c r="AR41" s="22" t="n">
        <v>25370.37109375</v>
      </c>
      <c r="AS41" s="22" t="n">
        <v>27037.037109375</v>
      </c>
      <c r="AT41" s="22" t="n">
        <v>27037.037109375</v>
      </c>
      <c r="AU41" s="22" t="n">
        <v>28518.517578125</v>
      </c>
      <c r="AV41" s="22" t="n">
        <v>28148.1484375</v>
      </c>
      <c r="AW41" s="22" t="n">
        <v>27370.37109375</v>
      </c>
      <c r="AX41" s="22" t="n">
        <v>26444.4453125</v>
      </c>
      <c r="AY41" s="22" t="n">
        <v>26700</v>
      </c>
      <c r="AZ41" s="22" t="n">
        <v>26500</v>
      </c>
      <c r="BA41" s="22" t="n">
        <v>27900</v>
      </c>
      <c r="BB41" s="22" t="n">
        <v>27300</v>
      </c>
      <c r="BC41" s="22" t="n">
        <v>27000</v>
      </c>
      <c r="BD41" s="22" t="n">
        <v>26200</v>
      </c>
      <c r="BE41" s="22" t="n">
        <v>25950</v>
      </c>
      <c r="BF41" s="22" t="n">
        <v>25600</v>
      </c>
      <c r="BG41" s="22" t="n">
        <v>25000</v>
      </c>
      <c r="BH41" s="22" t="n">
        <v>24650</v>
      </c>
      <c r="BI41" s="24">
        <f>MIN(E41:BH41)</f>
        <v/>
      </c>
      <c r="BJ41" s="24">
        <f>MAX(E41:BH41)</f>
        <v/>
      </c>
      <c r="BK41" s="24">
        <f>AVERAGE(E41:BH41)</f>
        <v/>
      </c>
    </row>
    <row r="42" ht="19" customHeight="1">
      <c r="A42" s="69" t="n">
        <v>41</v>
      </c>
      <c r="B42" s="20" t="inlineStr">
        <is>
          <t>CTS</t>
        </is>
      </c>
      <c r="C42" s="21" t="inlineStr">
        <is>
          <t>Ngân Hàng &amp; Tài Chính</t>
        </is>
      </c>
      <c r="D42" s="69" t="inlineStr">
        <is>
          <t>HOSE</t>
        </is>
      </c>
      <c r="E42" s="22" t="n">
        <v>18110.794921875</v>
      </c>
      <c r="F42" s="22" t="n">
        <v>18493.224609375</v>
      </c>
      <c r="G42" s="22" t="n">
        <v>18575.17578125</v>
      </c>
      <c r="H42" s="22" t="n">
        <v>19176.13671875</v>
      </c>
      <c r="I42" s="22" t="n">
        <v>20742.1875</v>
      </c>
      <c r="J42" s="22" t="n">
        <v>20273.4375</v>
      </c>
      <c r="K42" s="22" t="n">
        <v>20546.875</v>
      </c>
      <c r="L42" s="22" t="n">
        <v>20859.375</v>
      </c>
      <c r="M42" s="22" t="n">
        <v>21875</v>
      </c>
      <c r="N42" s="22" t="n">
        <v>23046.875</v>
      </c>
      <c r="O42" s="22" t="n">
        <v>24101.5625</v>
      </c>
      <c r="P42" s="22" t="n">
        <v>29804.6875</v>
      </c>
      <c r="Q42" s="22" t="n">
        <v>31875</v>
      </c>
      <c r="R42" s="22" t="n">
        <v>31992.1875</v>
      </c>
      <c r="S42" s="22" t="n">
        <v>34960.9375</v>
      </c>
      <c r="T42" s="22" t="n">
        <v>32500</v>
      </c>
      <c r="U42" s="22" t="n">
        <v>32343.75</v>
      </c>
      <c r="V42" s="22" t="n">
        <v>34414.0625</v>
      </c>
      <c r="W42" s="22" t="n">
        <v>31171.875</v>
      </c>
      <c r="X42" s="22" t="n">
        <v>30625</v>
      </c>
      <c r="Y42" s="22" t="n">
        <v>32187.5</v>
      </c>
      <c r="Z42" s="22" t="n">
        <v>30859.375</v>
      </c>
      <c r="AA42" s="22" t="n">
        <v>32968.75</v>
      </c>
      <c r="AB42" s="22" t="n">
        <v>34765.625</v>
      </c>
      <c r="AC42" s="22" t="n">
        <v>30898.4375</v>
      </c>
      <c r="AD42" s="22" t="n">
        <v>30390.625</v>
      </c>
      <c r="AE42" s="22" t="n">
        <v>27421.875</v>
      </c>
      <c r="AF42" s="22" t="n">
        <v>27617.1875</v>
      </c>
      <c r="AG42" s="22" t="n">
        <v>27343.75</v>
      </c>
      <c r="AH42" s="22" t="n">
        <v>26601.5625</v>
      </c>
      <c r="AI42" s="22" t="n">
        <v>27421.875</v>
      </c>
      <c r="AJ42" s="22" t="n">
        <v>25937.5</v>
      </c>
      <c r="AK42" s="22" t="n">
        <v>26328.125</v>
      </c>
      <c r="AL42" s="22" t="n">
        <v>26406.25</v>
      </c>
      <c r="AM42" s="22" t="n">
        <v>25898.4375</v>
      </c>
      <c r="AN42" s="22" t="n">
        <v>25078.125</v>
      </c>
      <c r="AO42" s="22" t="n">
        <v>26406.25</v>
      </c>
      <c r="AP42" s="22" t="n">
        <v>25664.0625</v>
      </c>
      <c r="AQ42" s="22" t="n">
        <v>24414.0625</v>
      </c>
      <c r="AR42" s="22" t="n">
        <v>23437.5</v>
      </c>
      <c r="AS42" s="22" t="n">
        <v>24062.5</v>
      </c>
      <c r="AT42" s="22" t="n">
        <v>24062.5</v>
      </c>
      <c r="AU42" s="22" t="n">
        <v>24804.6875</v>
      </c>
      <c r="AV42" s="22" t="n">
        <v>23828.125</v>
      </c>
      <c r="AW42" s="22" t="n">
        <v>21054.6875</v>
      </c>
      <c r="AX42" s="22" t="n">
        <v>20507.8125</v>
      </c>
      <c r="AY42" s="22" t="n">
        <v>20976.5625</v>
      </c>
      <c r="AZ42" s="22" t="n">
        <v>21250</v>
      </c>
      <c r="BA42" s="22" t="n">
        <v>21601.5625</v>
      </c>
      <c r="BB42" s="22" t="n">
        <v>21250</v>
      </c>
      <c r="BC42" s="22" t="n">
        <v>20625</v>
      </c>
      <c r="BD42" s="22" t="n">
        <v>20390.625</v>
      </c>
      <c r="BE42" s="22" t="n">
        <v>20976.5625</v>
      </c>
      <c r="BF42" s="22" t="n">
        <v>21914.0625</v>
      </c>
      <c r="BG42" s="22" t="n">
        <v>21992.1875</v>
      </c>
      <c r="BH42" s="22" t="n">
        <v>21328.125</v>
      </c>
      <c r="BI42" s="24">
        <f>MIN(E42:BH42)</f>
        <v/>
      </c>
      <c r="BJ42" s="24">
        <f>MAX(E42:BH42)</f>
        <v/>
      </c>
      <c r="BK42" s="24">
        <f>AVERAGE(E42:BH42)</f>
        <v/>
      </c>
    </row>
    <row r="43" ht="19" customHeight="1">
      <c r="A43" s="69" t="n">
        <v>42</v>
      </c>
      <c r="B43" s="20" t="inlineStr">
        <is>
          <t>BSI</t>
        </is>
      </c>
      <c r="C43" s="21" t="inlineStr">
        <is>
          <t>Ngân Hàng &amp; Tài Chính</t>
        </is>
      </c>
      <c r="D43" s="69" t="inlineStr">
        <is>
          <t>HOSE</t>
        </is>
      </c>
      <c r="E43" s="22" t="n">
        <v>38140.49609375</v>
      </c>
      <c r="F43" s="22" t="n">
        <v>39214.875</v>
      </c>
      <c r="G43" s="22" t="n">
        <v>37438.015625</v>
      </c>
      <c r="H43" s="22" t="n">
        <v>38347.109375</v>
      </c>
      <c r="I43" s="22" t="n">
        <v>38595.04296875</v>
      </c>
      <c r="J43" s="22" t="n">
        <v>37318.18359375</v>
      </c>
      <c r="K43" s="22" t="n">
        <v>37090.91015625</v>
      </c>
      <c r="L43" s="22" t="n">
        <v>36681.81640625</v>
      </c>
      <c r="M43" s="22" t="n">
        <v>38909.08984375</v>
      </c>
      <c r="N43" s="22" t="n">
        <v>39863.63671875</v>
      </c>
      <c r="O43" s="22" t="n">
        <v>41090.91015625</v>
      </c>
      <c r="P43" s="22" t="n">
        <v>41409.08984375</v>
      </c>
      <c r="Q43" s="22" t="n">
        <v>41545.453125</v>
      </c>
      <c r="R43" s="22" t="n">
        <v>43727.2734375</v>
      </c>
      <c r="S43" s="22" t="n">
        <v>45909.08984375</v>
      </c>
      <c r="T43" s="22" t="n">
        <v>50727.2734375</v>
      </c>
      <c r="U43" s="22" t="n">
        <v>47818.18359375</v>
      </c>
      <c r="V43" s="22" t="n">
        <v>49909.08984375</v>
      </c>
      <c r="W43" s="22" t="n">
        <v>45818.18359375</v>
      </c>
      <c r="X43" s="22" t="n">
        <v>43318.18359375</v>
      </c>
      <c r="Y43" s="22" t="n">
        <v>42909.08984375</v>
      </c>
      <c r="Z43" s="22" t="n">
        <v>41727.2734375</v>
      </c>
      <c r="AA43" s="22" t="n">
        <v>41681.81640625</v>
      </c>
      <c r="AB43" s="22" t="n">
        <v>39954.546875</v>
      </c>
      <c r="AC43" s="22" t="n">
        <v>37227.2734375</v>
      </c>
      <c r="AD43" s="22" t="n">
        <v>38272.7265625</v>
      </c>
      <c r="AE43" s="22" t="n">
        <v>36818.18359375</v>
      </c>
      <c r="AF43" s="22" t="n">
        <v>37681.81640625</v>
      </c>
      <c r="AG43" s="22" t="n">
        <v>36863.63671875</v>
      </c>
      <c r="AH43" s="22" t="n">
        <v>36045.453125</v>
      </c>
      <c r="AI43" s="22" t="n">
        <v>35863.63671875</v>
      </c>
      <c r="AJ43" s="22" t="n">
        <v>33681.81640625</v>
      </c>
      <c r="AK43" s="22" t="n">
        <v>34909.08984375</v>
      </c>
      <c r="AL43" s="22" t="n">
        <v>34181.81640625</v>
      </c>
      <c r="AM43" s="22" t="n">
        <v>34181.81640625</v>
      </c>
      <c r="AN43" s="22" t="n">
        <v>36318.18359375</v>
      </c>
      <c r="AO43" s="22" t="n">
        <v>37272.7265625</v>
      </c>
      <c r="AP43" s="22" t="n">
        <v>35500</v>
      </c>
      <c r="AQ43" s="22" t="n">
        <v>35636.36328125</v>
      </c>
      <c r="AR43" s="22" t="n">
        <v>34090.91015625</v>
      </c>
      <c r="AS43" s="22" t="n">
        <v>34545.453125</v>
      </c>
      <c r="AT43" s="22" t="n">
        <v>34545.453125</v>
      </c>
      <c r="AU43" s="22" t="n">
        <v>35363.63671875</v>
      </c>
      <c r="AV43" s="22" t="n">
        <v>34363.63671875</v>
      </c>
      <c r="AW43" s="22" t="n">
        <v>31954.544921875</v>
      </c>
      <c r="AX43" s="22" t="n">
        <v>31090.908203125</v>
      </c>
      <c r="AY43" s="22" t="n">
        <v>31181.818359375</v>
      </c>
      <c r="AZ43" s="22" t="n">
        <v>32590.908203125</v>
      </c>
      <c r="BA43" s="22" t="n">
        <v>33636.36328125</v>
      </c>
      <c r="BB43" s="22" t="n">
        <v>33318.18359375</v>
      </c>
      <c r="BC43" s="22" t="n">
        <v>32545.455078125</v>
      </c>
      <c r="BD43" s="22" t="n">
        <v>31863.63671875</v>
      </c>
      <c r="BE43" s="22" t="n">
        <v>31772.7265625</v>
      </c>
      <c r="BF43" s="22" t="n">
        <v>31818.181640625</v>
      </c>
      <c r="BG43" s="22" t="n">
        <v>31954.544921875</v>
      </c>
      <c r="BH43" s="22" t="n">
        <v>31818.181640625</v>
      </c>
      <c r="BI43" s="24">
        <f>MIN(E43:BH43)</f>
        <v/>
      </c>
      <c r="BJ43" s="24">
        <f>MAX(E43:BH43)</f>
        <v/>
      </c>
      <c r="BK43" s="24">
        <f>AVERAGE(E43:BH43)</f>
        <v/>
      </c>
    </row>
    <row r="44" ht="19" customHeight="1">
      <c r="A44" s="69" t="n">
        <v>43</v>
      </c>
      <c r="B44" s="20" t="inlineStr">
        <is>
          <t>VDS</t>
        </is>
      </c>
      <c r="C44" s="21" t="inlineStr">
        <is>
          <t>Ngân Hàng &amp; Tài Chính</t>
        </is>
      </c>
      <c r="D44" s="69" t="inlineStr">
        <is>
          <t>HOSE</t>
        </is>
      </c>
      <c r="E44" s="22" t="n">
        <v>14650</v>
      </c>
      <c r="F44" s="22" t="n">
        <v>15250</v>
      </c>
      <c r="G44" s="22" t="n">
        <v>14650</v>
      </c>
      <c r="H44" s="22" t="n">
        <v>15000</v>
      </c>
      <c r="I44" s="22" t="n">
        <v>14454.5458984375</v>
      </c>
      <c r="J44" s="22" t="n">
        <v>14150</v>
      </c>
      <c r="K44" s="22" t="n">
        <v>14450</v>
      </c>
      <c r="L44" s="22" t="n">
        <v>14100</v>
      </c>
      <c r="M44" s="22" t="n">
        <v>14550</v>
      </c>
      <c r="N44" s="22" t="n">
        <v>15350</v>
      </c>
      <c r="O44" s="22" t="n">
        <v>15700</v>
      </c>
      <c r="P44" s="22" t="n">
        <v>16950</v>
      </c>
      <c r="Q44" s="22" t="n">
        <v>17750</v>
      </c>
      <c r="R44" s="22" t="n">
        <v>20100</v>
      </c>
      <c r="S44" s="22" t="n">
        <v>20800</v>
      </c>
      <c r="T44" s="22" t="n">
        <v>23400</v>
      </c>
      <c r="U44" s="22" t="n">
        <v>24650</v>
      </c>
      <c r="V44" s="22" t="n">
        <v>24900</v>
      </c>
      <c r="W44" s="22" t="n">
        <v>23600</v>
      </c>
      <c r="X44" s="22" t="n">
        <v>22500</v>
      </c>
      <c r="Y44" s="22" t="n">
        <v>22350</v>
      </c>
      <c r="Z44" s="22" t="n">
        <v>21600</v>
      </c>
      <c r="AA44" s="22" t="n">
        <v>22300</v>
      </c>
      <c r="AB44" s="22" t="n">
        <v>21800</v>
      </c>
      <c r="AC44" s="22" t="n">
        <v>18950</v>
      </c>
      <c r="AD44" s="22" t="n">
        <v>19050</v>
      </c>
      <c r="AE44" s="22" t="n">
        <v>18250</v>
      </c>
      <c r="AF44" s="22" t="n">
        <v>18600</v>
      </c>
      <c r="AG44" s="22" t="n">
        <v>18700</v>
      </c>
      <c r="AH44" s="22" t="n">
        <v>18400</v>
      </c>
      <c r="AI44" s="22" t="n">
        <v>18350</v>
      </c>
      <c r="AJ44" s="22" t="n">
        <v>16900</v>
      </c>
      <c r="AK44" s="22" t="n">
        <v>17100</v>
      </c>
      <c r="AL44" s="22" t="n">
        <v>17150</v>
      </c>
      <c r="AM44" s="22" t="n">
        <v>16900</v>
      </c>
      <c r="AN44" s="22" t="n">
        <v>16250</v>
      </c>
      <c r="AO44" s="22" t="n">
        <v>17150</v>
      </c>
      <c r="AP44" s="22" t="n">
        <v>17500</v>
      </c>
      <c r="AQ44" s="22" t="n">
        <v>18250</v>
      </c>
      <c r="AR44" s="22" t="n">
        <v>17450</v>
      </c>
      <c r="AS44" s="22" t="n">
        <v>17950</v>
      </c>
      <c r="AT44" s="22" t="n">
        <v>17950</v>
      </c>
      <c r="AU44" s="22" t="n">
        <v>18650</v>
      </c>
      <c r="AV44" s="22" t="n">
        <v>16950</v>
      </c>
      <c r="AW44" s="22" t="n">
        <v>15100</v>
      </c>
      <c r="AX44" s="22" t="n">
        <v>14600</v>
      </c>
      <c r="AY44" s="22" t="n">
        <v>14400</v>
      </c>
      <c r="AZ44" s="22" t="n">
        <v>14450</v>
      </c>
      <c r="BA44" s="22" t="n">
        <v>15200</v>
      </c>
      <c r="BB44" s="22" t="n">
        <v>15000</v>
      </c>
      <c r="BC44" s="22" t="n">
        <v>14350</v>
      </c>
      <c r="BD44" s="22" t="n">
        <v>14450</v>
      </c>
      <c r="BE44" s="22" t="n">
        <v>13900</v>
      </c>
      <c r="BF44" s="22" t="n">
        <v>13600</v>
      </c>
      <c r="BG44" s="22" t="n">
        <v>13550</v>
      </c>
      <c r="BH44" s="22" t="n">
        <v>13650</v>
      </c>
      <c r="BI44" s="24">
        <f>MIN(E44:BH44)</f>
        <v/>
      </c>
      <c r="BJ44" s="24">
        <f>MAX(E44:BH44)</f>
        <v/>
      </c>
      <c r="BK44" s="24">
        <f>AVERAGE(E44:BH44)</f>
        <v/>
      </c>
    </row>
    <row r="45" ht="19" customHeight="1">
      <c r="A45" s="69" t="n">
        <v>44</v>
      </c>
      <c r="B45" s="20" t="inlineStr">
        <is>
          <t>FTS</t>
        </is>
      </c>
      <c r="C45" s="21" t="inlineStr">
        <is>
          <t>Ngân Hàng &amp; Tài Chính</t>
        </is>
      </c>
      <c r="D45" s="69" t="inlineStr">
        <is>
          <t>HOSE</t>
        </is>
      </c>
      <c r="E45" s="22" t="n">
        <v>32024.79296875</v>
      </c>
      <c r="F45" s="22" t="n">
        <v>32909.08984375</v>
      </c>
      <c r="G45" s="22" t="n">
        <v>31636.36328125</v>
      </c>
      <c r="H45" s="22" t="n">
        <v>33000</v>
      </c>
      <c r="I45" s="22" t="n">
        <v>33545.453125</v>
      </c>
      <c r="J45" s="22" t="n">
        <v>33272.7265625</v>
      </c>
      <c r="K45" s="22" t="n">
        <v>33045.453125</v>
      </c>
      <c r="L45" s="22" t="n">
        <v>33636.36328125</v>
      </c>
      <c r="M45" s="22" t="n">
        <v>36181.81640625</v>
      </c>
      <c r="N45" s="22" t="n">
        <v>36409.08984375</v>
      </c>
      <c r="O45" s="22" t="n">
        <v>37409.08984375</v>
      </c>
      <c r="P45" s="22" t="n">
        <v>36818.18359375</v>
      </c>
      <c r="Q45" s="22" t="n">
        <v>37272.7265625</v>
      </c>
      <c r="R45" s="22" t="n">
        <v>38909.08984375</v>
      </c>
      <c r="S45" s="22" t="n">
        <v>38681.81640625</v>
      </c>
      <c r="T45" s="22" t="n">
        <v>36681.81640625</v>
      </c>
      <c r="U45" s="22" t="n">
        <v>35727.2734375</v>
      </c>
      <c r="V45" s="22" t="n">
        <v>36409.08984375</v>
      </c>
      <c r="W45" s="22" t="n">
        <v>33772.7265625</v>
      </c>
      <c r="X45" s="22" t="n">
        <v>34000</v>
      </c>
      <c r="Y45" s="22" t="n">
        <v>33363.63671875</v>
      </c>
      <c r="Z45" s="22" t="n">
        <v>31454.544921875</v>
      </c>
      <c r="AA45" s="22" t="n">
        <v>32590.908203125</v>
      </c>
      <c r="AB45" s="22" t="n">
        <v>31272.7265625</v>
      </c>
      <c r="AC45" s="22" t="n">
        <v>30090.908203125</v>
      </c>
      <c r="AD45" s="22" t="n">
        <v>32136.36328125</v>
      </c>
      <c r="AE45" s="22" t="n">
        <v>30181.818359375</v>
      </c>
      <c r="AF45" s="22" t="n">
        <v>30636.36328125</v>
      </c>
      <c r="AG45" s="22" t="n">
        <v>30181.818359375</v>
      </c>
      <c r="AH45" s="22" t="n">
        <v>29454.544921875</v>
      </c>
      <c r="AI45" s="22" t="n">
        <v>29500</v>
      </c>
      <c r="AJ45" s="22" t="n">
        <v>29090.908203125</v>
      </c>
      <c r="AK45" s="22" t="n">
        <v>31045.455078125</v>
      </c>
      <c r="AL45" s="22" t="n">
        <v>31227.2734375</v>
      </c>
      <c r="AM45" s="22" t="n">
        <v>29954.544921875</v>
      </c>
      <c r="AN45" s="22" t="n">
        <v>29363.63671875</v>
      </c>
      <c r="AO45" s="22" t="n">
        <v>31136.36328125</v>
      </c>
      <c r="AP45" s="22" t="n">
        <v>29636.36328125</v>
      </c>
      <c r="AQ45" s="22" t="n">
        <v>29909.091796875</v>
      </c>
      <c r="AR45" s="22" t="n">
        <v>28954.544921875</v>
      </c>
      <c r="AS45" s="22" t="n">
        <v>29818.181640625</v>
      </c>
      <c r="AT45" s="22" t="n">
        <v>29818.181640625</v>
      </c>
      <c r="AU45" s="22" t="n">
        <v>29636.36328125</v>
      </c>
      <c r="AV45" s="22" t="n">
        <v>27090.908203125</v>
      </c>
      <c r="AW45" s="22" t="n">
        <v>24818.181640625</v>
      </c>
      <c r="AX45" s="22" t="n">
        <v>22500</v>
      </c>
      <c r="AY45" s="22" t="n">
        <v>23272.7265625</v>
      </c>
      <c r="AZ45" s="22" t="n">
        <v>25045.455078125</v>
      </c>
      <c r="BA45" s="22" t="n">
        <v>25454.544921875</v>
      </c>
      <c r="BB45" s="22" t="n">
        <v>25045.455078125</v>
      </c>
      <c r="BC45" s="22" t="n">
        <v>24045.455078125</v>
      </c>
      <c r="BD45" s="22" t="n">
        <v>23681.818359375</v>
      </c>
      <c r="BE45" s="22" t="n">
        <v>24090.908203125</v>
      </c>
      <c r="BF45" s="22" t="n">
        <v>24227.2734375</v>
      </c>
      <c r="BG45" s="22" t="n">
        <v>24350</v>
      </c>
      <c r="BH45" s="22" t="n">
        <v>24000</v>
      </c>
      <c r="BI45" s="24">
        <f>MIN(E45:BH45)</f>
        <v/>
      </c>
      <c r="BJ45" s="24">
        <f>MAX(E45:BH45)</f>
        <v/>
      </c>
      <c r="BK45" s="24">
        <f>AVERAGE(E45:BH45)</f>
        <v/>
      </c>
    </row>
    <row r="46" ht="19" customHeight="1">
      <c r="A46" s="70" t="n">
        <v>45</v>
      </c>
      <c r="B46" s="26" t="inlineStr">
        <is>
          <t>NVL</t>
        </is>
      </c>
      <c r="C46" s="27" t="inlineStr">
        <is>
          <t>Bất Động Sản &amp; KCN</t>
        </is>
      </c>
      <c r="D46" s="70" t="inlineStr">
        <is>
          <t>HOSE</t>
        </is>
      </c>
      <c r="E46" s="28" t="n">
        <v>11720.9306640625</v>
      </c>
      <c r="F46" s="28" t="n">
        <v>11255.8134765625</v>
      </c>
      <c r="G46" s="28" t="n">
        <v>11627.9072265625</v>
      </c>
      <c r="H46" s="28" t="n">
        <v>12976.744140625</v>
      </c>
      <c r="I46" s="28" t="n">
        <v>13302.3251953125</v>
      </c>
      <c r="J46" s="28" t="n">
        <v>13255.8134765625</v>
      </c>
      <c r="K46" s="28" t="n">
        <v>14465.1162109375</v>
      </c>
      <c r="L46" s="28" t="n">
        <v>14093.0234375</v>
      </c>
      <c r="M46" s="28" t="n">
        <v>13860.46484375</v>
      </c>
      <c r="N46" s="28" t="n">
        <v>14372.0927734375</v>
      </c>
      <c r="O46" s="28" t="n">
        <v>15255.8134765625</v>
      </c>
      <c r="P46" s="28" t="n">
        <v>15674.4189453125</v>
      </c>
      <c r="Q46" s="28" t="n">
        <v>15488.3720703125</v>
      </c>
      <c r="R46" s="28" t="n">
        <v>16930.232421875</v>
      </c>
      <c r="S46" s="28" t="n">
        <v>17581.39453125</v>
      </c>
      <c r="T46" s="28" t="n">
        <v>15674.4189453125</v>
      </c>
      <c r="U46" s="28" t="n">
        <v>15534.8837890625</v>
      </c>
      <c r="V46" s="28" t="n">
        <v>16000</v>
      </c>
      <c r="W46" s="28" t="n">
        <v>14604.6513671875</v>
      </c>
      <c r="X46" s="28" t="n">
        <v>14046.51171875</v>
      </c>
      <c r="Y46" s="28" t="n">
        <v>14883.720703125</v>
      </c>
      <c r="Z46" s="28" t="n">
        <v>14418.6044921875</v>
      </c>
      <c r="AA46" s="28" t="n">
        <v>14232.55859375</v>
      </c>
      <c r="AB46" s="28" t="n">
        <v>15116.279296875</v>
      </c>
      <c r="AC46" s="28" t="n">
        <v>13209.302734375</v>
      </c>
      <c r="AD46" s="28" t="n">
        <v>12837.208984375</v>
      </c>
      <c r="AE46" s="28" t="n">
        <v>12093.0234375</v>
      </c>
      <c r="AF46" s="28" t="n">
        <v>13162.791015625</v>
      </c>
      <c r="AG46" s="28" t="n">
        <v>14325.5810546875</v>
      </c>
      <c r="AH46" s="28" t="n">
        <v>13767.44140625</v>
      </c>
      <c r="AI46" s="28" t="n">
        <v>13813.953125</v>
      </c>
      <c r="AJ46" s="28" t="n">
        <v>12418.6044921875</v>
      </c>
      <c r="AK46" s="28" t="n">
        <v>12883.720703125</v>
      </c>
      <c r="AL46" s="28" t="n">
        <v>12325.5810546875</v>
      </c>
      <c r="AM46" s="28" t="n">
        <v>12418.6044921875</v>
      </c>
      <c r="AN46" s="28" t="n">
        <v>11674.4189453125</v>
      </c>
      <c r="AO46" s="28" t="n">
        <v>12139.53515625</v>
      </c>
      <c r="AP46" s="28" t="n">
        <v>11627.9072265625</v>
      </c>
      <c r="AQ46" s="28" t="n">
        <v>12093.0234375</v>
      </c>
      <c r="AR46" s="28" t="n">
        <v>11348.8369140625</v>
      </c>
      <c r="AS46" s="28" t="n">
        <v>11767.44140625</v>
      </c>
      <c r="AT46" s="28" t="n">
        <v>11767.44140625</v>
      </c>
      <c r="AU46" s="28" t="n">
        <v>11441.8603515625</v>
      </c>
      <c r="AV46" s="28" t="n">
        <v>10465.1162109375</v>
      </c>
      <c r="AW46" s="28" t="n">
        <v>11767.44140625</v>
      </c>
      <c r="AX46" s="28" t="n">
        <v>12511.6279296875</v>
      </c>
      <c r="AY46" s="28" t="n">
        <v>13302.3251953125</v>
      </c>
      <c r="AZ46" s="28" t="n">
        <v>13302.3251953125</v>
      </c>
      <c r="BA46" s="28" t="n">
        <v>15627.9072265625</v>
      </c>
      <c r="BB46" s="28" t="n">
        <v>15860.46484375</v>
      </c>
      <c r="BC46" s="28" t="n">
        <v>18093.0234375</v>
      </c>
      <c r="BD46" s="28" t="n">
        <v>19069.767578125</v>
      </c>
      <c r="BE46" s="28" t="n">
        <v>16000</v>
      </c>
      <c r="BF46" s="28" t="n">
        <v>16093.0234375</v>
      </c>
      <c r="BG46" s="28" t="n">
        <v>14418.6044921875</v>
      </c>
      <c r="BH46" s="28" t="n">
        <v>14046.51171875</v>
      </c>
      <c r="BI46" s="30">
        <f>MIN(E46:BH46)</f>
        <v/>
      </c>
      <c r="BJ46" s="30">
        <f>MAX(E46:BH46)</f>
        <v/>
      </c>
      <c r="BK46" s="30">
        <f>AVERAGE(E46:BH46)</f>
        <v/>
      </c>
    </row>
    <row r="47" ht="19" customHeight="1">
      <c r="A47" s="70" t="n">
        <v>46</v>
      </c>
      <c r="B47" s="26" t="inlineStr">
        <is>
          <t>KBC</t>
        </is>
      </c>
      <c r="C47" s="27" t="inlineStr">
        <is>
          <t>Bất Động Sản &amp; KCN</t>
        </is>
      </c>
      <c r="D47" s="70" t="inlineStr">
        <is>
          <t>HOSE</t>
        </is>
      </c>
      <c r="E47" s="28" t="n">
        <v>24550</v>
      </c>
      <c r="F47" s="28" t="n">
        <v>25600</v>
      </c>
      <c r="G47" s="28" t="n">
        <v>26500</v>
      </c>
      <c r="H47" s="28" t="n">
        <v>26950</v>
      </c>
      <c r="I47" s="28" t="n">
        <v>26300</v>
      </c>
      <c r="J47" s="28" t="n">
        <v>25300</v>
      </c>
      <c r="K47" s="28" t="n">
        <v>25650</v>
      </c>
      <c r="L47" s="28" t="n">
        <v>26450</v>
      </c>
      <c r="M47" s="28" t="n">
        <v>26600</v>
      </c>
      <c r="N47" s="28" t="n">
        <v>27400</v>
      </c>
      <c r="O47" s="28" t="n">
        <v>28400</v>
      </c>
      <c r="P47" s="28" t="n">
        <v>28450</v>
      </c>
      <c r="Q47" s="28" t="n">
        <v>31650</v>
      </c>
      <c r="R47" s="28" t="n">
        <v>33950</v>
      </c>
      <c r="S47" s="28" t="n">
        <v>33550</v>
      </c>
      <c r="T47" s="28" t="n">
        <v>39750</v>
      </c>
      <c r="U47" s="28" t="n">
        <v>40300</v>
      </c>
      <c r="V47" s="28" t="n">
        <v>40300</v>
      </c>
      <c r="W47" s="28" t="n">
        <v>38300</v>
      </c>
      <c r="X47" s="28" t="n">
        <v>36700</v>
      </c>
      <c r="Y47" s="28" t="n">
        <v>36900</v>
      </c>
      <c r="Z47" s="28" t="n">
        <v>35000</v>
      </c>
      <c r="AA47" s="28" t="n">
        <v>34950</v>
      </c>
      <c r="AB47" s="28" t="n">
        <v>37000</v>
      </c>
      <c r="AC47" s="28" t="n">
        <v>33600</v>
      </c>
      <c r="AD47" s="28" t="n">
        <v>35500</v>
      </c>
      <c r="AE47" s="28" t="n">
        <v>33850</v>
      </c>
      <c r="AF47" s="28" t="n">
        <v>33600</v>
      </c>
      <c r="AG47" s="28" t="n">
        <v>34900</v>
      </c>
      <c r="AH47" s="28" t="n">
        <v>35300</v>
      </c>
      <c r="AI47" s="28" t="n">
        <v>34800</v>
      </c>
      <c r="AJ47" s="28" t="n">
        <v>32350</v>
      </c>
      <c r="AK47" s="28" t="n">
        <v>34300</v>
      </c>
      <c r="AL47" s="28" t="n">
        <v>33200</v>
      </c>
      <c r="AM47" s="28" t="n">
        <v>35350</v>
      </c>
      <c r="AN47" s="28" t="n">
        <v>36000</v>
      </c>
      <c r="AO47" s="28" t="n">
        <v>35600</v>
      </c>
      <c r="AP47" s="28" t="n">
        <v>36300</v>
      </c>
      <c r="AQ47" s="28" t="n">
        <v>34900</v>
      </c>
      <c r="AR47" s="28" t="n">
        <v>34200</v>
      </c>
      <c r="AS47" s="28" t="n">
        <v>34150</v>
      </c>
      <c r="AT47" s="28" t="n">
        <v>34150</v>
      </c>
      <c r="AU47" s="28" t="n">
        <v>35400</v>
      </c>
      <c r="AV47" s="28" t="n">
        <v>32100</v>
      </c>
      <c r="AW47" s="28" t="n">
        <v>31950</v>
      </c>
      <c r="AX47" s="28" t="n">
        <v>29050</v>
      </c>
      <c r="AY47" s="28" t="n">
        <v>30700</v>
      </c>
      <c r="AZ47" s="28" t="n">
        <v>32000</v>
      </c>
      <c r="BA47" s="28" t="n">
        <v>33950</v>
      </c>
      <c r="BB47" s="28" t="n">
        <v>35050</v>
      </c>
      <c r="BC47" s="28" t="n">
        <v>34200</v>
      </c>
      <c r="BD47" s="28" t="n">
        <v>33900</v>
      </c>
      <c r="BE47" s="28" t="n">
        <v>33600</v>
      </c>
      <c r="BF47" s="28" t="n">
        <v>32050</v>
      </c>
      <c r="BG47" s="28" t="n">
        <v>31500</v>
      </c>
      <c r="BH47" s="28" t="n">
        <v>30500</v>
      </c>
      <c r="BI47" s="30">
        <f>MIN(E47:BH47)</f>
        <v/>
      </c>
      <c r="BJ47" s="30">
        <f>MAX(E47:BH47)</f>
        <v/>
      </c>
      <c r="BK47" s="30">
        <f>AVERAGE(E47:BH47)</f>
        <v/>
      </c>
    </row>
    <row r="48" ht="19" customHeight="1">
      <c r="A48" s="70" t="n">
        <v>47</v>
      </c>
      <c r="B48" s="26" t="inlineStr">
        <is>
          <t>CII</t>
        </is>
      </c>
      <c r="C48" s="27" t="inlineStr">
        <is>
          <t>Bất Động Sản &amp; KCN</t>
        </is>
      </c>
      <c r="D48" s="70" t="inlineStr">
        <is>
          <t>HOSE</t>
        </is>
      </c>
      <c r="E48" s="28" t="n">
        <v>11403.5087890625</v>
      </c>
      <c r="F48" s="28" t="n">
        <v>11842.10546875</v>
      </c>
      <c r="G48" s="28" t="n">
        <v>13508.771484375</v>
      </c>
      <c r="H48" s="28" t="n">
        <v>13640.3505859375</v>
      </c>
      <c r="I48" s="28" t="n">
        <v>13640.3505859375</v>
      </c>
      <c r="J48" s="28" t="n">
        <v>12587.7197265625</v>
      </c>
      <c r="K48" s="28" t="n">
        <v>12543.859375</v>
      </c>
      <c r="L48" s="28" t="n">
        <v>13157.89453125</v>
      </c>
      <c r="M48" s="28" t="n">
        <v>13070.17578125</v>
      </c>
      <c r="N48" s="28" t="n">
        <v>13333.3330078125</v>
      </c>
      <c r="O48" s="28" t="n">
        <v>13947.3681640625</v>
      </c>
      <c r="P48" s="28" t="n">
        <v>14210.5263671875</v>
      </c>
      <c r="Q48" s="28" t="n">
        <v>14342.10546875</v>
      </c>
      <c r="R48" s="28" t="n">
        <v>16750</v>
      </c>
      <c r="S48" s="28" t="n">
        <v>23350</v>
      </c>
      <c r="T48" s="28" t="n">
        <v>24950</v>
      </c>
      <c r="U48" s="28" t="n">
        <v>23100</v>
      </c>
      <c r="V48" s="28" t="n">
        <v>23800</v>
      </c>
      <c r="W48" s="28" t="n">
        <v>23600</v>
      </c>
      <c r="X48" s="28" t="n">
        <v>22950</v>
      </c>
      <c r="Y48" s="28" t="n">
        <v>26100</v>
      </c>
      <c r="Z48" s="28" t="n">
        <v>24600</v>
      </c>
      <c r="AA48" s="28" t="n">
        <v>25950</v>
      </c>
      <c r="AB48" s="28" t="n">
        <v>30000</v>
      </c>
      <c r="AC48" s="28" t="n">
        <v>27500</v>
      </c>
      <c r="AD48" s="28" t="n">
        <v>24400</v>
      </c>
      <c r="AE48" s="28" t="n">
        <v>22800</v>
      </c>
      <c r="AF48" s="28" t="n">
        <v>25150</v>
      </c>
      <c r="AG48" s="28" t="n">
        <v>26300</v>
      </c>
      <c r="AH48" s="28" t="n">
        <v>26750</v>
      </c>
      <c r="AI48" s="28" t="n">
        <v>26300</v>
      </c>
      <c r="AJ48" s="28" t="n">
        <v>23400</v>
      </c>
      <c r="AK48" s="28" t="n">
        <v>23450</v>
      </c>
      <c r="AL48" s="28" t="n">
        <v>22600</v>
      </c>
      <c r="AM48" s="28" t="n">
        <v>20900</v>
      </c>
      <c r="AN48" s="28" t="n">
        <v>18350</v>
      </c>
      <c r="AO48" s="28" t="n">
        <v>18650</v>
      </c>
      <c r="AP48" s="28" t="n">
        <v>18600</v>
      </c>
      <c r="AQ48" s="28" t="n">
        <v>18450</v>
      </c>
      <c r="AR48" s="28" t="n">
        <v>17100</v>
      </c>
      <c r="AS48" s="28" t="n">
        <v>17900</v>
      </c>
      <c r="AT48" s="28" t="n">
        <v>17900</v>
      </c>
      <c r="AU48" s="28" t="n">
        <v>17650</v>
      </c>
      <c r="AV48" s="28" t="n">
        <v>16250</v>
      </c>
      <c r="AW48" s="28" t="n">
        <v>16650</v>
      </c>
      <c r="AX48" s="28" t="n">
        <v>16300</v>
      </c>
      <c r="AY48" s="28" t="n">
        <v>19100</v>
      </c>
      <c r="AZ48" s="28" t="n">
        <v>18000</v>
      </c>
      <c r="BA48" s="28" t="n">
        <v>18550</v>
      </c>
      <c r="BB48" s="28" t="n">
        <v>19000</v>
      </c>
      <c r="BC48" s="28" t="n">
        <v>18750</v>
      </c>
      <c r="BD48" s="28" t="n">
        <v>19300</v>
      </c>
      <c r="BE48" s="28" t="n">
        <v>18450</v>
      </c>
      <c r="BF48" s="28" t="n">
        <v>19100</v>
      </c>
      <c r="BG48" s="28" t="n">
        <v>18000</v>
      </c>
      <c r="BH48" s="28" t="n">
        <v>17100</v>
      </c>
      <c r="BI48" s="30">
        <f>MIN(E48:BH48)</f>
        <v/>
      </c>
      <c r="BJ48" s="30">
        <f>MAX(E48:BH48)</f>
        <v/>
      </c>
      <c r="BK48" s="30">
        <f>AVERAGE(E48:BH48)</f>
        <v/>
      </c>
    </row>
    <row r="49" ht="19" customHeight="1">
      <c r="A49" s="70" t="n">
        <v>48</v>
      </c>
      <c r="B49" s="26" t="inlineStr">
        <is>
          <t>CRE</t>
        </is>
      </c>
      <c r="C49" s="27" t="inlineStr">
        <is>
          <t>Bất Động Sản &amp; KCN</t>
        </is>
      </c>
      <c r="D49" s="70" t="inlineStr">
        <is>
          <t>HOSE</t>
        </is>
      </c>
      <c r="E49" s="28" t="n">
        <v>7250</v>
      </c>
      <c r="F49" s="28" t="n">
        <v>7350</v>
      </c>
      <c r="G49" s="28" t="n">
        <v>7530</v>
      </c>
      <c r="H49" s="28" t="n">
        <v>7890</v>
      </c>
      <c r="I49" s="28" t="n">
        <v>8680</v>
      </c>
      <c r="J49" s="28" t="n">
        <v>8450</v>
      </c>
      <c r="K49" s="28" t="n">
        <v>8450</v>
      </c>
      <c r="L49" s="28" t="n">
        <v>8370</v>
      </c>
      <c r="M49" s="28" t="n">
        <v>8480</v>
      </c>
      <c r="N49" s="28" t="n">
        <v>8940</v>
      </c>
      <c r="O49" s="28" t="n">
        <v>9270</v>
      </c>
      <c r="P49" s="28" t="n">
        <v>9260</v>
      </c>
      <c r="Q49" s="28" t="n">
        <v>8760</v>
      </c>
      <c r="R49" s="28" t="n">
        <v>9700</v>
      </c>
      <c r="S49" s="28" t="n">
        <v>10250</v>
      </c>
      <c r="T49" s="28" t="n">
        <v>10400</v>
      </c>
      <c r="U49" s="28" t="n">
        <v>10450</v>
      </c>
      <c r="V49" s="28" t="n">
        <v>10900</v>
      </c>
      <c r="W49" s="28" t="n">
        <v>10400</v>
      </c>
      <c r="X49" s="28" t="n">
        <v>10500</v>
      </c>
      <c r="Y49" s="28" t="n">
        <v>10900</v>
      </c>
      <c r="Z49" s="28" t="n">
        <v>10450</v>
      </c>
      <c r="AA49" s="28" t="n">
        <v>10300</v>
      </c>
      <c r="AB49" s="28" t="n">
        <v>10250</v>
      </c>
      <c r="AC49" s="28" t="n">
        <v>9800</v>
      </c>
      <c r="AD49" s="28" t="n">
        <v>9350</v>
      </c>
      <c r="AE49" s="28" t="n">
        <v>9250</v>
      </c>
      <c r="AF49" s="28" t="n">
        <v>9340</v>
      </c>
      <c r="AG49" s="28" t="n">
        <v>9500</v>
      </c>
      <c r="AH49" s="28" t="n">
        <v>9700</v>
      </c>
      <c r="AI49" s="28" t="n">
        <v>9560</v>
      </c>
      <c r="AJ49" s="28" t="n">
        <v>9000</v>
      </c>
      <c r="AK49" s="28" t="n">
        <v>8890</v>
      </c>
      <c r="AL49" s="28" t="n">
        <v>9000</v>
      </c>
      <c r="AM49" s="28" t="n">
        <v>8590</v>
      </c>
      <c r="AN49" s="28" t="n">
        <v>8120</v>
      </c>
      <c r="AO49" s="28" t="n">
        <v>8450</v>
      </c>
      <c r="AP49" s="28" t="n">
        <v>7900</v>
      </c>
      <c r="AQ49" s="28" t="n">
        <v>7600</v>
      </c>
      <c r="AR49" s="28" t="n">
        <v>6900</v>
      </c>
      <c r="AS49" s="28" t="n">
        <v>7800</v>
      </c>
      <c r="AT49" s="28" t="n">
        <v>7800</v>
      </c>
      <c r="AU49" s="28" t="n">
        <v>7530</v>
      </c>
      <c r="AV49" s="28" t="n">
        <v>7000</v>
      </c>
      <c r="AW49" s="28" t="n">
        <v>7310</v>
      </c>
      <c r="AX49" s="28" t="n">
        <v>7070</v>
      </c>
      <c r="AY49" s="28" t="n">
        <v>7650</v>
      </c>
      <c r="AZ49" s="28" t="n">
        <v>7600</v>
      </c>
      <c r="BA49" s="28" t="n">
        <v>7700</v>
      </c>
      <c r="BB49" s="28" t="n">
        <v>7630</v>
      </c>
      <c r="BC49" s="28" t="n">
        <v>7490</v>
      </c>
      <c r="BD49" s="28" t="n">
        <v>7670</v>
      </c>
      <c r="BE49" s="28" t="n">
        <v>7500</v>
      </c>
      <c r="BF49" s="28" t="n">
        <v>7500</v>
      </c>
      <c r="BG49" s="28" t="n">
        <v>7860</v>
      </c>
      <c r="BH49" s="28" t="n">
        <v>7900</v>
      </c>
      <c r="BI49" s="30">
        <f>MIN(E49:BH49)</f>
        <v/>
      </c>
      <c r="BJ49" s="30">
        <f>MAX(E49:BH49)</f>
        <v/>
      </c>
      <c r="BK49" s="30">
        <f>AVERAGE(E49:BH49)</f>
        <v/>
      </c>
    </row>
    <row r="50" ht="19" customHeight="1">
      <c r="A50" s="70" t="n">
        <v>49</v>
      </c>
      <c r="B50" s="26" t="inlineStr">
        <is>
          <t>DXG</t>
        </is>
      </c>
      <c r="C50" s="27" t="inlineStr">
        <is>
          <t>Bất Động Sản &amp; KCN</t>
        </is>
      </c>
      <c r="D50" s="70" t="inlineStr">
        <is>
          <t>HOSE</t>
        </is>
      </c>
      <c r="E50" s="28" t="n">
        <v>12033.2880859375</v>
      </c>
      <c r="F50" s="28" t="n">
        <v>12220.72265625</v>
      </c>
      <c r="G50" s="28" t="n">
        <v>12558.1044921875</v>
      </c>
      <c r="H50" s="28" t="n">
        <v>13532.763671875</v>
      </c>
      <c r="I50" s="28" t="n">
        <v>13903.5087890625</v>
      </c>
      <c r="J50" s="28" t="n">
        <v>13903.5087890625</v>
      </c>
      <c r="K50" s="28" t="n">
        <v>14254.3857421875</v>
      </c>
      <c r="L50" s="28" t="n">
        <v>14780.7021484375</v>
      </c>
      <c r="M50" s="28" t="n">
        <v>14824.5615234375</v>
      </c>
      <c r="N50" s="28" t="n">
        <v>15307.017578125</v>
      </c>
      <c r="O50" s="28" t="n">
        <v>17368.421875</v>
      </c>
      <c r="P50" s="28" t="n">
        <v>17280.701171875</v>
      </c>
      <c r="Q50" s="28" t="n">
        <v>17368.421875</v>
      </c>
      <c r="R50" s="28" t="n">
        <v>18070.17578125</v>
      </c>
      <c r="S50" s="28" t="n">
        <v>19210.525390625</v>
      </c>
      <c r="T50" s="28" t="n">
        <v>18421.052734375</v>
      </c>
      <c r="U50" s="28" t="n">
        <v>20087.71875</v>
      </c>
      <c r="V50" s="28" t="n">
        <v>20745.61328125</v>
      </c>
      <c r="W50" s="28" t="n">
        <v>20614.03515625</v>
      </c>
      <c r="X50" s="28" t="n">
        <v>20087.71875</v>
      </c>
      <c r="Y50" s="28" t="n">
        <v>20350.876953125</v>
      </c>
      <c r="Z50" s="28" t="n">
        <v>17631.578125</v>
      </c>
      <c r="AA50" s="28" t="n">
        <v>18026.31640625</v>
      </c>
      <c r="AB50" s="28" t="n">
        <v>19692.982421875</v>
      </c>
      <c r="AC50" s="28" t="n">
        <v>17587.71875</v>
      </c>
      <c r="AD50" s="28" t="n">
        <v>18596.4921875</v>
      </c>
      <c r="AE50" s="28" t="n">
        <v>16578.947265625</v>
      </c>
      <c r="AF50" s="28" t="n">
        <v>16885.96484375</v>
      </c>
      <c r="AG50" s="28" t="n">
        <v>16798.24609375</v>
      </c>
      <c r="AH50" s="28" t="n">
        <v>16491.228515625</v>
      </c>
      <c r="AI50" s="28" t="n">
        <v>16359.6494140625</v>
      </c>
      <c r="AJ50" s="28" t="n">
        <v>14692.982421875</v>
      </c>
      <c r="AK50" s="28" t="n">
        <v>15614.03515625</v>
      </c>
      <c r="AL50" s="28" t="n">
        <v>15438.5966796875</v>
      </c>
      <c r="AM50" s="28" t="n">
        <v>15000</v>
      </c>
      <c r="AN50" s="28" t="n">
        <v>13596.4912109375</v>
      </c>
      <c r="AO50" s="28" t="n">
        <v>13947.3681640625</v>
      </c>
      <c r="AP50" s="28" t="n">
        <v>13421.052734375</v>
      </c>
      <c r="AQ50" s="28" t="n">
        <v>13508.771484375</v>
      </c>
      <c r="AR50" s="28" t="n">
        <v>12543.859375</v>
      </c>
      <c r="AS50" s="28" t="n">
        <v>13815.7890625</v>
      </c>
      <c r="AT50" s="28" t="n">
        <v>13815.7890625</v>
      </c>
      <c r="AU50" s="28" t="n">
        <v>13245.6142578125</v>
      </c>
      <c r="AV50" s="28" t="n">
        <v>12368.4208984375</v>
      </c>
      <c r="AW50" s="28" t="n">
        <v>12280.7021484375</v>
      </c>
      <c r="AX50" s="28" t="n">
        <v>12280.7021484375</v>
      </c>
      <c r="AY50" s="28" t="n">
        <v>12807.017578125</v>
      </c>
      <c r="AZ50" s="28" t="n">
        <v>12631.5791015625</v>
      </c>
      <c r="BA50" s="28" t="n">
        <v>13377.193359375</v>
      </c>
      <c r="BB50" s="28" t="n">
        <v>13070.17578125</v>
      </c>
      <c r="BC50" s="28" t="n">
        <v>13070.17578125</v>
      </c>
      <c r="BD50" s="28" t="n">
        <v>13464.912109375</v>
      </c>
      <c r="BE50" s="28" t="n">
        <v>13552.6318359375</v>
      </c>
      <c r="BF50" s="28" t="n">
        <v>14078.947265625</v>
      </c>
      <c r="BG50" s="28" t="n">
        <v>12938.5966796875</v>
      </c>
      <c r="BH50" s="28" t="n">
        <v>13050</v>
      </c>
      <c r="BI50" s="30">
        <f>MIN(E50:BH50)</f>
        <v/>
      </c>
      <c r="BJ50" s="30">
        <f>MAX(E50:BH50)</f>
        <v/>
      </c>
      <c r="BK50" s="30">
        <f>AVERAGE(E50:BH50)</f>
        <v/>
      </c>
    </row>
    <row r="51" ht="19" customHeight="1">
      <c r="A51" s="70" t="n">
        <v>50</v>
      </c>
      <c r="B51" s="26" t="inlineStr">
        <is>
          <t>PDR</t>
        </is>
      </c>
      <c r="C51" s="27" t="inlineStr">
        <is>
          <t>Bất Động Sản &amp; KCN</t>
        </is>
      </c>
      <c r="D51" s="70" t="inlineStr">
        <is>
          <t>HOSE</t>
        </is>
      </c>
      <c r="E51" s="28" t="n">
        <v>15370.3701171875</v>
      </c>
      <c r="F51" s="28" t="n">
        <v>15555.5556640625</v>
      </c>
      <c r="G51" s="28" t="n">
        <v>15185.185546875</v>
      </c>
      <c r="H51" s="28" t="n">
        <v>16250</v>
      </c>
      <c r="I51" s="28" t="n">
        <v>16898.1484375</v>
      </c>
      <c r="J51" s="28" t="n">
        <v>16111.111328125</v>
      </c>
      <c r="K51" s="28" t="n">
        <v>16527.77734375</v>
      </c>
      <c r="L51" s="28" t="n">
        <v>16342.5927734375</v>
      </c>
      <c r="M51" s="28" t="n">
        <v>16527.77734375</v>
      </c>
      <c r="N51" s="28" t="n">
        <v>17685.185546875</v>
      </c>
      <c r="O51" s="28" t="n">
        <v>19351.8515625</v>
      </c>
      <c r="P51" s="28" t="n">
        <v>18703.703125</v>
      </c>
      <c r="Q51" s="28" t="n">
        <v>19166.666015625</v>
      </c>
      <c r="R51" s="28" t="n">
        <v>19950</v>
      </c>
      <c r="S51" s="28" t="n">
        <v>24550</v>
      </c>
      <c r="T51" s="28" t="n">
        <v>23750</v>
      </c>
      <c r="U51" s="28" t="n">
        <v>24400</v>
      </c>
      <c r="V51" s="28" t="n">
        <v>26000</v>
      </c>
      <c r="W51" s="28" t="n">
        <v>23400</v>
      </c>
      <c r="X51" s="28" t="n">
        <v>23450</v>
      </c>
      <c r="Y51" s="28" t="n">
        <v>24800</v>
      </c>
      <c r="Z51" s="28" t="n">
        <v>22900</v>
      </c>
      <c r="AA51" s="28" t="n">
        <v>23300</v>
      </c>
      <c r="AB51" s="28" t="n">
        <v>26300</v>
      </c>
      <c r="AC51" s="28" t="n">
        <v>23600</v>
      </c>
      <c r="AD51" s="28" t="n">
        <v>23400</v>
      </c>
      <c r="AE51" s="28" t="n">
        <v>21150</v>
      </c>
      <c r="AF51" s="28" t="n">
        <v>22200</v>
      </c>
      <c r="AG51" s="28" t="n">
        <v>22600</v>
      </c>
      <c r="AH51" s="28" t="n">
        <v>22500</v>
      </c>
      <c r="AI51" s="28" t="n">
        <v>22200</v>
      </c>
      <c r="AJ51" s="28" t="n">
        <v>19700</v>
      </c>
      <c r="AK51" s="28" t="n">
        <v>19300</v>
      </c>
      <c r="AL51" s="28" t="n">
        <v>19350</v>
      </c>
      <c r="AM51" s="28" t="n">
        <v>18800</v>
      </c>
      <c r="AN51" s="28" t="n">
        <v>17250</v>
      </c>
      <c r="AO51" s="28" t="n">
        <v>17500</v>
      </c>
      <c r="AP51" s="28" t="n">
        <v>17800</v>
      </c>
      <c r="AQ51" s="28" t="n">
        <v>17700</v>
      </c>
      <c r="AR51" s="28" t="n">
        <v>17000</v>
      </c>
      <c r="AS51" s="28" t="n">
        <v>17400</v>
      </c>
      <c r="AT51" s="28" t="n">
        <v>17400</v>
      </c>
      <c r="AU51" s="28" t="n">
        <v>16400</v>
      </c>
      <c r="AV51" s="28" t="n">
        <v>15600</v>
      </c>
      <c r="AW51" s="28" t="n">
        <v>15450</v>
      </c>
      <c r="AX51" s="28" t="n">
        <v>15150</v>
      </c>
      <c r="AY51" s="28" t="n">
        <v>16400</v>
      </c>
      <c r="AZ51" s="28" t="n">
        <v>15900</v>
      </c>
      <c r="BA51" s="28" t="n">
        <v>16400</v>
      </c>
      <c r="BB51" s="28" t="n">
        <v>16150</v>
      </c>
      <c r="BC51" s="28" t="n">
        <v>16200</v>
      </c>
      <c r="BD51" s="28" t="n">
        <v>16450</v>
      </c>
      <c r="BE51" s="28" t="n">
        <v>16350</v>
      </c>
      <c r="BF51" s="28" t="n">
        <v>16550</v>
      </c>
      <c r="BG51" s="28" t="n">
        <v>15800</v>
      </c>
      <c r="BH51" s="28" t="n">
        <v>16050</v>
      </c>
      <c r="BI51" s="30">
        <f>MIN(E51:BH51)</f>
        <v/>
      </c>
      <c r="BJ51" s="30">
        <f>MAX(E51:BH51)</f>
        <v/>
      </c>
      <c r="BK51" s="30">
        <f>AVERAGE(E51:BH51)</f>
        <v/>
      </c>
    </row>
    <row r="52" ht="19" customHeight="1">
      <c r="A52" s="70" t="n">
        <v>51</v>
      </c>
      <c r="B52" s="26" t="inlineStr">
        <is>
          <t>DXS</t>
        </is>
      </c>
      <c r="C52" s="27" t="inlineStr">
        <is>
          <t>Bất Động Sản &amp; KCN</t>
        </is>
      </c>
      <c r="D52" s="70" t="inlineStr">
        <is>
          <t>HOSE</t>
        </is>
      </c>
      <c r="E52" s="28" t="n">
        <v>6480</v>
      </c>
      <c r="F52" s="28" t="n">
        <v>6660</v>
      </c>
      <c r="G52" s="28" t="n">
        <v>6640</v>
      </c>
      <c r="H52" s="28" t="n">
        <v>7100</v>
      </c>
      <c r="I52" s="28" t="n">
        <v>8290</v>
      </c>
      <c r="J52" s="28" t="n">
        <v>9090</v>
      </c>
      <c r="K52" s="28" t="n">
        <v>8890</v>
      </c>
      <c r="L52" s="28" t="n">
        <v>9200</v>
      </c>
      <c r="M52" s="28" t="n">
        <v>9220</v>
      </c>
      <c r="N52" s="28" t="n">
        <v>9620</v>
      </c>
      <c r="O52" s="28" t="n">
        <v>10800</v>
      </c>
      <c r="P52" s="28" t="n">
        <v>11300</v>
      </c>
      <c r="Q52" s="28" t="n">
        <v>10950</v>
      </c>
      <c r="R52" s="28" t="n">
        <v>12150</v>
      </c>
      <c r="S52" s="28" t="n">
        <v>12700</v>
      </c>
      <c r="T52" s="28" t="n">
        <v>12200</v>
      </c>
      <c r="U52" s="28" t="n">
        <v>12750</v>
      </c>
      <c r="V52" s="28" t="n">
        <v>13600</v>
      </c>
      <c r="W52" s="28" t="n">
        <v>13500</v>
      </c>
      <c r="X52" s="28" t="n">
        <v>12900</v>
      </c>
      <c r="Y52" s="28" t="n">
        <v>13100</v>
      </c>
      <c r="Z52" s="28" t="n">
        <v>11850</v>
      </c>
      <c r="AA52" s="28" t="n">
        <v>12000</v>
      </c>
      <c r="AB52" s="28" t="n">
        <v>12300</v>
      </c>
      <c r="AC52" s="28" t="n">
        <v>10650</v>
      </c>
      <c r="AD52" s="28" t="n">
        <v>11100</v>
      </c>
      <c r="AE52" s="28" t="n">
        <v>9690</v>
      </c>
      <c r="AF52" s="28" t="n">
        <v>9900</v>
      </c>
      <c r="AG52" s="28" t="n">
        <v>10200</v>
      </c>
      <c r="AH52" s="28" t="n">
        <v>10000</v>
      </c>
      <c r="AI52" s="28" t="n">
        <v>10250</v>
      </c>
      <c r="AJ52" s="28" t="n">
        <v>9080</v>
      </c>
      <c r="AK52" s="28" t="n">
        <v>9400</v>
      </c>
      <c r="AL52" s="28" t="n">
        <v>9150</v>
      </c>
      <c r="AM52" s="28" t="n">
        <v>9070</v>
      </c>
      <c r="AN52" s="28" t="n">
        <v>8160</v>
      </c>
      <c r="AO52" s="28" t="n">
        <v>8170</v>
      </c>
      <c r="AP52" s="28" t="n">
        <v>7810</v>
      </c>
      <c r="AQ52" s="28" t="n">
        <v>7450</v>
      </c>
      <c r="AR52" s="28" t="n">
        <v>6960</v>
      </c>
      <c r="AS52" s="28" t="n">
        <v>7340</v>
      </c>
      <c r="AT52" s="28" t="n">
        <v>7340</v>
      </c>
      <c r="AU52" s="28" t="n">
        <v>7160</v>
      </c>
      <c r="AV52" s="28" t="n">
        <v>6420</v>
      </c>
      <c r="AW52" s="28" t="n">
        <v>6250</v>
      </c>
      <c r="AX52" s="28" t="n">
        <v>6240</v>
      </c>
      <c r="AY52" s="28" t="n">
        <v>6760</v>
      </c>
      <c r="AZ52" s="28" t="n">
        <v>7470</v>
      </c>
      <c r="BA52" s="28" t="n">
        <v>7640</v>
      </c>
      <c r="BB52" s="28" t="n">
        <v>7330</v>
      </c>
      <c r="BC52" s="28" t="n">
        <v>7300</v>
      </c>
      <c r="BD52" s="28" t="n">
        <v>7360</v>
      </c>
      <c r="BE52" s="28" t="n">
        <v>7620</v>
      </c>
      <c r="BF52" s="28" t="n">
        <v>8500</v>
      </c>
      <c r="BG52" s="28" t="n">
        <v>8080</v>
      </c>
      <c r="BH52" s="28" t="n">
        <v>7560</v>
      </c>
      <c r="BI52" s="30">
        <f>MIN(E52:BH52)</f>
        <v/>
      </c>
      <c r="BJ52" s="30">
        <f>MAX(E52:BH52)</f>
        <v/>
      </c>
      <c r="BK52" s="30">
        <f>AVERAGE(E52:BH52)</f>
        <v/>
      </c>
    </row>
    <row r="53" ht="19" customHeight="1">
      <c r="A53" s="70" t="n">
        <v>52</v>
      </c>
      <c r="B53" s="26" t="inlineStr">
        <is>
          <t>TCH</t>
        </is>
      </c>
      <c r="C53" s="27" t="inlineStr">
        <is>
          <t>Bất Động Sản &amp; KCN</t>
        </is>
      </c>
      <c r="D53" s="70" t="inlineStr">
        <is>
          <t>HOSE</t>
        </is>
      </c>
      <c r="E53" s="28" t="n">
        <v>13709.4609375</v>
      </c>
      <c r="F53" s="28" t="n">
        <v>13369.5576171875</v>
      </c>
      <c r="G53" s="28" t="n">
        <v>13784.9951171875</v>
      </c>
      <c r="H53" s="28" t="n">
        <v>15144.611328125</v>
      </c>
      <c r="I53" s="28" t="n">
        <v>14955.7763671875</v>
      </c>
      <c r="J53" s="28" t="n">
        <v>15031.310546875</v>
      </c>
      <c r="K53" s="28" t="n">
        <v>14691.40625</v>
      </c>
      <c r="L53" s="28" t="n">
        <v>14691.40625</v>
      </c>
      <c r="M53" s="28" t="n">
        <v>14955.7763671875</v>
      </c>
      <c r="N53" s="28" t="n">
        <v>17599.474609375</v>
      </c>
      <c r="O53" s="28" t="n">
        <v>18656.953125</v>
      </c>
      <c r="P53" s="28" t="n">
        <v>19072.390625</v>
      </c>
      <c r="Q53" s="28" t="n">
        <v>18090.4453125</v>
      </c>
      <c r="R53" s="28" t="n">
        <v>18241.513671875</v>
      </c>
      <c r="S53" s="28" t="n">
        <v>19638.8984375</v>
      </c>
      <c r="T53" s="28" t="n">
        <v>18484.84765625</v>
      </c>
      <c r="U53" s="28" t="n">
        <v>19047.619140625</v>
      </c>
      <c r="V53" s="28" t="n">
        <v>20909.091796875</v>
      </c>
      <c r="W53" s="28" t="n">
        <v>18311.6875</v>
      </c>
      <c r="X53" s="28" t="n">
        <v>18181.818359375</v>
      </c>
      <c r="Y53" s="28" t="n">
        <v>19220.779296875</v>
      </c>
      <c r="Z53" s="28" t="n">
        <v>19134.19921875</v>
      </c>
      <c r="AA53" s="28" t="n">
        <v>20432.900390625</v>
      </c>
      <c r="AB53" s="28" t="n">
        <v>22077.921875</v>
      </c>
      <c r="AC53" s="28" t="n">
        <v>19090.908203125</v>
      </c>
      <c r="AD53" s="28" t="n">
        <v>19134.19921875</v>
      </c>
      <c r="AE53" s="28" t="n">
        <v>18181.818359375</v>
      </c>
      <c r="AF53" s="28" t="n">
        <v>18441.55859375</v>
      </c>
      <c r="AG53" s="28" t="n">
        <v>18636.36328125</v>
      </c>
      <c r="AH53" s="28" t="n">
        <v>18590.908203125</v>
      </c>
      <c r="AI53" s="28" t="n">
        <v>18545.455078125</v>
      </c>
      <c r="AJ53" s="28" t="n">
        <v>16909.091796875</v>
      </c>
      <c r="AK53" s="28" t="n">
        <v>17090.908203125</v>
      </c>
      <c r="AL53" s="28" t="n">
        <v>17000</v>
      </c>
      <c r="AM53" s="28" t="n">
        <v>16636.36328125</v>
      </c>
      <c r="AN53" s="28" t="n">
        <v>14500</v>
      </c>
      <c r="AO53" s="28" t="n">
        <v>14454.5458984375</v>
      </c>
      <c r="AP53" s="28" t="n">
        <v>13954.5458984375</v>
      </c>
      <c r="AQ53" s="28" t="n">
        <v>14272.7275390625</v>
      </c>
      <c r="AR53" s="28" t="n">
        <v>13363.63671875</v>
      </c>
      <c r="AS53" s="28" t="n">
        <v>15136.36328125</v>
      </c>
      <c r="AT53" s="28" t="n">
        <v>15136.36328125</v>
      </c>
      <c r="AU53" s="28" t="n">
        <v>13818.181640625</v>
      </c>
      <c r="AV53" s="28" t="n">
        <v>12545.4541015625</v>
      </c>
      <c r="AW53" s="28" t="n">
        <v>13727.2724609375</v>
      </c>
      <c r="AX53" s="28" t="n">
        <v>13545.4541015625</v>
      </c>
      <c r="AY53" s="28" t="n">
        <v>15181.818359375</v>
      </c>
      <c r="AZ53" s="28" t="n">
        <v>15000</v>
      </c>
      <c r="BA53" s="28" t="n">
        <v>15454.5458984375</v>
      </c>
      <c r="BB53" s="28" t="n">
        <v>15545.4541015625</v>
      </c>
      <c r="BC53" s="28" t="n">
        <v>15909.0908203125</v>
      </c>
      <c r="BD53" s="28" t="n">
        <v>16500</v>
      </c>
      <c r="BE53" s="28" t="n">
        <v>15409.0908203125</v>
      </c>
      <c r="BF53" s="28" t="n">
        <v>15272.7275390625</v>
      </c>
      <c r="BG53" s="28" t="n">
        <v>14227.2724609375</v>
      </c>
      <c r="BH53" s="28" t="n">
        <v>13681.818359375</v>
      </c>
      <c r="BI53" s="30">
        <f>MIN(E53:BH53)</f>
        <v/>
      </c>
      <c r="BJ53" s="30">
        <f>MAX(E53:BH53)</f>
        <v/>
      </c>
      <c r="BK53" s="30">
        <f>AVERAGE(E53:BH53)</f>
        <v/>
      </c>
    </row>
    <row r="54" ht="19" customHeight="1">
      <c r="A54" s="70" t="n">
        <v>53</v>
      </c>
      <c r="B54" s="26" t="inlineStr">
        <is>
          <t>HDG</t>
        </is>
      </c>
      <c r="C54" s="27" t="inlineStr">
        <is>
          <t>Bất Động Sản &amp; KCN</t>
        </is>
      </c>
      <c r="D54" s="70" t="inlineStr">
        <is>
          <t>HOSE</t>
        </is>
      </c>
      <c r="E54" s="28" t="n">
        <v>20165.2890625</v>
      </c>
      <c r="F54" s="28" t="n">
        <v>20495.8671875</v>
      </c>
      <c r="G54" s="28" t="n">
        <v>21404.958984375</v>
      </c>
      <c r="H54" s="28" t="n">
        <v>22272.7265625</v>
      </c>
      <c r="I54" s="28" t="n">
        <v>22314.048828125</v>
      </c>
      <c r="J54" s="28" t="n">
        <v>24409.091796875</v>
      </c>
      <c r="K54" s="28" t="n">
        <v>22590.908203125</v>
      </c>
      <c r="L54" s="28" t="n">
        <v>23227.2734375</v>
      </c>
      <c r="M54" s="28" t="n">
        <v>23000</v>
      </c>
      <c r="N54" s="28" t="n">
        <v>23272.7265625</v>
      </c>
      <c r="O54" s="28" t="n">
        <v>25636.36328125</v>
      </c>
      <c r="P54" s="28" t="n">
        <v>25500</v>
      </c>
      <c r="Q54" s="28" t="n">
        <v>23772.7265625</v>
      </c>
      <c r="R54" s="28" t="n">
        <v>25318.181640625</v>
      </c>
      <c r="S54" s="28" t="n">
        <v>29954.544921875</v>
      </c>
      <c r="T54" s="28" t="n">
        <v>28318.181640625</v>
      </c>
      <c r="U54" s="28" t="n">
        <v>29090.908203125</v>
      </c>
      <c r="V54" s="28" t="n">
        <v>29681.818359375</v>
      </c>
      <c r="W54" s="28" t="n">
        <v>28636.36328125</v>
      </c>
      <c r="X54" s="28" t="n">
        <v>28590.908203125</v>
      </c>
      <c r="Y54" s="28" t="n">
        <v>29409.091796875</v>
      </c>
      <c r="Z54" s="28" t="n">
        <v>27954.544921875</v>
      </c>
      <c r="AA54" s="28" t="n">
        <v>29863.63671875</v>
      </c>
      <c r="AB54" s="28" t="n">
        <v>32454.544921875</v>
      </c>
      <c r="AC54" s="28" t="n">
        <v>28727.2734375</v>
      </c>
      <c r="AD54" s="28" t="n">
        <v>28181.818359375</v>
      </c>
      <c r="AE54" s="28" t="n">
        <v>27454.544921875</v>
      </c>
      <c r="AF54" s="28" t="n">
        <v>29727.2734375</v>
      </c>
      <c r="AG54" s="28" t="n">
        <v>29363.63671875</v>
      </c>
      <c r="AH54" s="28" t="n">
        <v>28863.63671875</v>
      </c>
      <c r="AI54" s="28" t="n">
        <v>28318.181640625</v>
      </c>
      <c r="AJ54" s="28" t="n">
        <v>25545.455078125</v>
      </c>
      <c r="AK54" s="28" t="n">
        <v>25636.36328125</v>
      </c>
      <c r="AL54" s="28" t="n">
        <v>25090.908203125</v>
      </c>
      <c r="AM54" s="28" t="n">
        <v>24818.181640625</v>
      </c>
      <c r="AN54" s="28" t="n">
        <v>23909.091796875</v>
      </c>
      <c r="AO54" s="28" t="n">
        <v>23863.63671875</v>
      </c>
      <c r="AP54" s="28" t="n">
        <v>23909.091796875</v>
      </c>
      <c r="AQ54" s="28" t="n">
        <v>24954.544921875</v>
      </c>
      <c r="AR54" s="28" t="n">
        <v>23727.2734375</v>
      </c>
      <c r="AS54" s="28" t="n">
        <v>24318.181640625</v>
      </c>
      <c r="AT54" s="28" t="n">
        <v>24318.181640625</v>
      </c>
      <c r="AU54" s="28" t="n">
        <v>24818.181640625</v>
      </c>
      <c r="AV54" s="28" t="n">
        <v>25318.181640625</v>
      </c>
      <c r="AW54" s="28" t="n">
        <v>25863.63671875</v>
      </c>
      <c r="AX54" s="28" t="n">
        <v>26500</v>
      </c>
      <c r="AY54" s="28" t="n">
        <v>27090.908203125</v>
      </c>
      <c r="AZ54" s="28" t="n">
        <v>26363.63671875</v>
      </c>
      <c r="BA54" s="28" t="n">
        <v>25454.544921875</v>
      </c>
      <c r="BB54" s="28" t="n">
        <v>25363.63671875</v>
      </c>
      <c r="BC54" s="28" t="n">
        <v>24181.818359375</v>
      </c>
      <c r="BD54" s="28" t="n">
        <v>23545.455078125</v>
      </c>
      <c r="BE54" s="28" t="n">
        <v>22818.181640625</v>
      </c>
      <c r="BF54" s="28" t="n">
        <v>22500</v>
      </c>
      <c r="BG54" s="28" t="n">
        <v>21045.455078125</v>
      </c>
      <c r="BH54" s="28" t="n">
        <v>21272.7265625</v>
      </c>
      <c r="BI54" s="30">
        <f>MIN(E54:BH54)</f>
        <v/>
      </c>
      <c r="BJ54" s="30">
        <f>MAX(E54:BH54)</f>
        <v/>
      </c>
      <c r="BK54" s="30">
        <f>AVERAGE(E54:BH54)</f>
        <v/>
      </c>
    </row>
    <row r="55" ht="19" customHeight="1">
      <c r="A55" s="70" t="n">
        <v>54</v>
      </c>
      <c r="B55" s="26" t="inlineStr">
        <is>
          <t>NLG</t>
        </is>
      </c>
      <c r="C55" s="27" t="inlineStr">
        <is>
          <t>Bất Động Sản &amp; KCN</t>
        </is>
      </c>
      <c r="D55" s="70" t="inlineStr">
        <is>
          <t>HOSE</t>
        </is>
      </c>
      <c r="E55" s="28" t="n">
        <v>31500</v>
      </c>
      <c r="F55" s="28" t="n">
        <v>33750</v>
      </c>
      <c r="G55" s="28" t="n">
        <v>34400</v>
      </c>
      <c r="H55" s="28" t="n">
        <v>38350</v>
      </c>
      <c r="I55" s="28" t="n">
        <v>36800</v>
      </c>
      <c r="J55" s="28" t="n">
        <v>38000</v>
      </c>
      <c r="K55" s="28" t="n">
        <v>36950</v>
      </c>
      <c r="L55" s="28" t="n">
        <v>36850</v>
      </c>
      <c r="M55" s="28" t="n">
        <v>39000</v>
      </c>
      <c r="N55" s="28" t="n">
        <v>39500</v>
      </c>
      <c r="O55" s="28" t="n">
        <v>41350</v>
      </c>
      <c r="P55" s="28" t="n">
        <v>40450</v>
      </c>
      <c r="Q55" s="28" t="n">
        <v>41500</v>
      </c>
      <c r="R55" s="28" t="n">
        <v>41950</v>
      </c>
      <c r="S55" s="28" t="n">
        <v>47000</v>
      </c>
      <c r="T55" s="28" t="n">
        <v>41700</v>
      </c>
      <c r="U55" s="28" t="n">
        <v>44200</v>
      </c>
      <c r="V55" s="28" t="n">
        <v>43750</v>
      </c>
      <c r="W55" s="28" t="n">
        <v>40400</v>
      </c>
      <c r="X55" s="28" t="n">
        <v>40550</v>
      </c>
      <c r="Y55" s="28" t="n">
        <v>40900</v>
      </c>
      <c r="Z55" s="28" t="n">
        <v>39000</v>
      </c>
      <c r="AA55" s="28" t="n">
        <v>36164.22265625</v>
      </c>
      <c r="AB55" s="28" t="n">
        <v>42050</v>
      </c>
      <c r="AC55" s="28" t="n">
        <v>37700</v>
      </c>
      <c r="AD55" s="28" t="n">
        <v>39900</v>
      </c>
      <c r="AE55" s="28" t="n">
        <v>37650</v>
      </c>
      <c r="AF55" s="28" t="n">
        <v>37200</v>
      </c>
      <c r="AG55" s="28" t="n">
        <v>35950</v>
      </c>
      <c r="AH55" s="28" t="n">
        <v>35950</v>
      </c>
      <c r="AI55" s="28" t="n">
        <v>35600</v>
      </c>
      <c r="AJ55" s="28" t="n">
        <v>32900</v>
      </c>
      <c r="AK55" s="28" t="n">
        <v>31700</v>
      </c>
      <c r="AL55" s="28" t="n">
        <v>30100</v>
      </c>
      <c r="AM55" s="28" t="n">
        <v>30450</v>
      </c>
      <c r="AN55" s="28" t="n">
        <v>29150</v>
      </c>
      <c r="AO55" s="28" t="n">
        <v>30650</v>
      </c>
      <c r="AP55" s="28" t="n">
        <v>29700</v>
      </c>
      <c r="AQ55" s="28" t="n">
        <v>29450</v>
      </c>
      <c r="AR55" s="28" t="n">
        <v>27050</v>
      </c>
      <c r="AS55" s="28" t="n">
        <v>29000</v>
      </c>
      <c r="AT55" s="28" t="n">
        <v>29000</v>
      </c>
      <c r="AU55" s="28" t="n">
        <v>27850</v>
      </c>
      <c r="AV55" s="28" t="n">
        <v>26000</v>
      </c>
      <c r="AW55" s="28" t="n">
        <v>26400</v>
      </c>
      <c r="AX55" s="28" t="n">
        <v>27700</v>
      </c>
      <c r="AY55" s="28" t="n">
        <v>29350</v>
      </c>
      <c r="AZ55" s="28" t="n">
        <v>28100</v>
      </c>
      <c r="BA55" s="28" t="n">
        <v>29200</v>
      </c>
      <c r="BB55" s="28" t="n">
        <v>28550</v>
      </c>
      <c r="BC55" s="28" t="n">
        <v>27650</v>
      </c>
      <c r="BD55" s="28" t="n">
        <v>27750</v>
      </c>
      <c r="BE55" s="28" t="n">
        <v>26500</v>
      </c>
      <c r="BF55" s="28" t="n">
        <v>26500</v>
      </c>
      <c r="BG55" s="28" t="n">
        <v>25500</v>
      </c>
      <c r="BH55" s="28" t="n">
        <v>26400</v>
      </c>
      <c r="BI55" s="30">
        <f>MIN(E55:BH55)</f>
        <v/>
      </c>
      <c r="BJ55" s="30">
        <f>MAX(E55:BH55)</f>
        <v/>
      </c>
      <c r="BK55" s="30">
        <f>AVERAGE(E55:BH55)</f>
        <v/>
      </c>
    </row>
    <row r="56" ht="19" customHeight="1">
      <c r="A56" s="70" t="n">
        <v>55</v>
      </c>
      <c r="B56" s="26" t="inlineStr">
        <is>
          <t>KHG</t>
        </is>
      </c>
      <c r="C56" s="27" t="inlineStr">
        <is>
          <t>Bất Động Sản &amp; KCN</t>
        </is>
      </c>
      <c r="D56" s="70" t="inlineStr">
        <is>
          <t>HOSE</t>
        </is>
      </c>
      <c r="E56" s="28" t="n">
        <v>5370</v>
      </c>
      <c r="F56" s="28" t="n">
        <v>5330</v>
      </c>
      <c r="G56" s="28" t="n">
        <v>5290</v>
      </c>
      <c r="H56" s="28" t="n">
        <v>5460</v>
      </c>
      <c r="I56" s="28" t="n">
        <v>5710</v>
      </c>
      <c r="J56" s="28" t="n">
        <v>5910</v>
      </c>
      <c r="K56" s="28" t="n">
        <v>6540</v>
      </c>
      <c r="L56" s="28" t="n">
        <v>6410</v>
      </c>
      <c r="M56" s="28" t="n">
        <v>6350</v>
      </c>
      <c r="N56" s="28" t="n">
        <v>6790</v>
      </c>
      <c r="O56" s="28" t="n">
        <v>6920</v>
      </c>
      <c r="P56" s="28" t="n">
        <v>6860</v>
      </c>
      <c r="Q56" s="28" t="n">
        <v>6700</v>
      </c>
      <c r="R56" s="28" t="n">
        <v>6970</v>
      </c>
      <c r="S56" s="28" t="n">
        <v>7300</v>
      </c>
      <c r="T56" s="28" t="n">
        <v>6970</v>
      </c>
      <c r="U56" s="28" t="n">
        <v>6880</v>
      </c>
      <c r="V56" s="28" t="n">
        <v>7240</v>
      </c>
      <c r="W56" s="28" t="n">
        <v>7190</v>
      </c>
      <c r="X56" s="28" t="n">
        <v>7090</v>
      </c>
      <c r="Y56" s="28" t="n">
        <v>7070</v>
      </c>
      <c r="Z56" s="28" t="n">
        <v>6750</v>
      </c>
      <c r="AA56" s="28" t="n">
        <v>6960</v>
      </c>
      <c r="AB56" s="28" t="n">
        <v>7050</v>
      </c>
      <c r="AC56" s="28" t="n">
        <v>7100</v>
      </c>
      <c r="AD56" s="28" t="n">
        <v>8200</v>
      </c>
      <c r="AE56" s="28" t="n">
        <v>7860</v>
      </c>
      <c r="AF56" s="28" t="n">
        <v>7600</v>
      </c>
      <c r="AG56" s="28" t="n">
        <v>7560</v>
      </c>
      <c r="AH56" s="28" t="n">
        <v>7510</v>
      </c>
      <c r="AI56" s="28" t="n">
        <v>7430</v>
      </c>
      <c r="AJ56" s="28" t="n">
        <v>7070</v>
      </c>
      <c r="AK56" s="28" t="n">
        <v>7080</v>
      </c>
      <c r="AL56" s="28" t="n">
        <v>6900</v>
      </c>
      <c r="AM56" s="28" t="n">
        <v>6890</v>
      </c>
      <c r="AN56" s="28" t="n">
        <v>6790</v>
      </c>
      <c r="AO56" s="28" t="n">
        <v>7100</v>
      </c>
      <c r="AP56" s="28" t="n">
        <v>7000</v>
      </c>
      <c r="AQ56" s="28" t="n">
        <v>6940</v>
      </c>
      <c r="AR56" s="28" t="n">
        <v>6530</v>
      </c>
      <c r="AS56" s="28" t="n">
        <v>6580</v>
      </c>
      <c r="AT56" s="28" t="n">
        <v>6580</v>
      </c>
      <c r="AU56" s="28" t="n">
        <v>6340</v>
      </c>
      <c r="AV56" s="28" t="n">
        <v>5880</v>
      </c>
      <c r="AW56" s="28" t="n">
        <v>5500</v>
      </c>
      <c r="AX56" s="28" t="n">
        <v>5290</v>
      </c>
      <c r="AY56" s="28" t="n">
        <v>5600</v>
      </c>
      <c r="AZ56" s="28" t="n">
        <v>5390</v>
      </c>
      <c r="BA56" s="28" t="n">
        <v>5600</v>
      </c>
      <c r="BB56" s="28" t="n">
        <v>5540</v>
      </c>
      <c r="BC56" s="28" t="n">
        <v>5450</v>
      </c>
      <c r="BD56" s="28" t="n">
        <v>5430</v>
      </c>
      <c r="BE56" s="28" t="n">
        <v>5360</v>
      </c>
      <c r="BF56" s="28" t="n">
        <v>5270</v>
      </c>
      <c r="BG56" s="28" t="n">
        <v>5050</v>
      </c>
      <c r="BH56" s="28" t="n">
        <v>5020</v>
      </c>
      <c r="BI56" s="30">
        <f>MIN(E56:BH56)</f>
        <v/>
      </c>
      <c r="BJ56" s="30">
        <f>MAX(E56:BH56)</f>
        <v/>
      </c>
      <c r="BK56" s="30">
        <f>AVERAGE(E56:BH56)</f>
        <v/>
      </c>
    </row>
    <row r="57" ht="19" customHeight="1">
      <c r="A57" s="70" t="n">
        <v>56</v>
      </c>
      <c r="B57" s="26" t="inlineStr">
        <is>
          <t>HQC</t>
        </is>
      </c>
      <c r="C57" s="27" t="inlineStr">
        <is>
          <t>Bất Động Sản &amp; KCN</t>
        </is>
      </c>
      <c r="D57" s="70" t="inlineStr">
        <is>
          <t>HOSE</t>
        </is>
      </c>
      <c r="E57" s="28" t="n">
        <v>3300</v>
      </c>
      <c r="F57" s="28" t="n">
        <v>3230</v>
      </c>
      <c r="G57" s="28" t="n">
        <v>3150</v>
      </c>
      <c r="H57" s="28" t="n">
        <v>3250</v>
      </c>
      <c r="I57" s="28" t="n">
        <v>3410</v>
      </c>
      <c r="J57" s="28" t="n">
        <v>3320</v>
      </c>
      <c r="K57" s="28" t="n">
        <v>3260</v>
      </c>
      <c r="L57" s="28" t="n">
        <v>3210</v>
      </c>
      <c r="M57" s="28" t="n">
        <v>3260</v>
      </c>
      <c r="N57" s="28" t="n">
        <v>3710</v>
      </c>
      <c r="O57" s="28" t="n">
        <v>3770</v>
      </c>
      <c r="P57" s="28" t="n">
        <v>3860</v>
      </c>
      <c r="Q57" s="28" t="n">
        <v>3790</v>
      </c>
      <c r="R57" s="28" t="n">
        <v>3950</v>
      </c>
      <c r="S57" s="28" t="n">
        <v>4060</v>
      </c>
      <c r="T57" s="28" t="n">
        <v>3980</v>
      </c>
      <c r="U57" s="28" t="n">
        <v>3800</v>
      </c>
      <c r="V57" s="28" t="n">
        <v>3900</v>
      </c>
      <c r="W57" s="28" t="n">
        <v>3680</v>
      </c>
      <c r="X57" s="28" t="n">
        <v>3800</v>
      </c>
      <c r="Y57" s="28" t="n">
        <v>3840</v>
      </c>
      <c r="Z57" s="28" t="n">
        <v>3550</v>
      </c>
      <c r="AA57" s="28" t="n">
        <v>3500</v>
      </c>
      <c r="AB57" s="28" t="n">
        <v>3480</v>
      </c>
      <c r="AC57" s="28" t="n">
        <v>3170</v>
      </c>
      <c r="AD57" s="28" t="n">
        <v>3300</v>
      </c>
      <c r="AE57" s="28" t="n">
        <v>3110</v>
      </c>
      <c r="AF57" s="28" t="n">
        <v>3070</v>
      </c>
      <c r="AG57" s="28" t="n">
        <v>3310</v>
      </c>
      <c r="AH57" s="28" t="n">
        <v>3110</v>
      </c>
      <c r="AI57" s="28" t="n">
        <v>3120</v>
      </c>
      <c r="AJ57" s="28" t="n">
        <v>3180</v>
      </c>
      <c r="AK57" s="28" t="n">
        <v>3120</v>
      </c>
      <c r="AL57" s="28" t="n">
        <v>3000</v>
      </c>
      <c r="AM57" s="28" t="n">
        <v>3010</v>
      </c>
      <c r="AN57" s="28" t="n">
        <v>2800</v>
      </c>
      <c r="AO57" s="28" t="n">
        <v>2890</v>
      </c>
      <c r="AP57" s="28" t="n">
        <v>2880</v>
      </c>
      <c r="AQ57" s="28" t="n">
        <v>2840</v>
      </c>
      <c r="AR57" s="28" t="n">
        <v>2800</v>
      </c>
      <c r="AS57" s="28" t="n">
        <v>2780</v>
      </c>
      <c r="AT57" s="28" t="n">
        <v>2780</v>
      </c>
      <c r="AU57" s="28" t="n">
        <v>2780</v>
      </c>
      <c r="AV57" s="28" t="n">
        <v>2590</v>
      </c>
      <c r="AW57" s="28" t="n">
        <v>2580</v>
      </c>
      <c r="AX57" s="28" t="n">
        <v>2610</v>
      </c>
      <c r="AY57" s="28" t="n">
        <v>2700</v>
      </c>
      <c r="AZ57" s="28" t="n">
        <v>2560</v>
      </c>
      <c r="BA57" s="28" t="n">
        <v>2630</v>
      </c>
      <c r="BB57" s="28" t="n">
        <v>2590</v>
      </c>
      <c r="BC57" s="28" t="n">
        <v>2570</v>
      </c>
      <c r="BD57" s="28" t="n">
        <v>2610</v>
      </c>
      <c r="BE57" s="28" t="n">
        <v>2500</v>
      </c>
      <c r="BF57" s="28" t="n">
        <v>2500</v>
      </c>
      <c r="BG57" s="28" t="n">
        <v>2430</v>
      </c>
      <c r="BH57" s="28" t="n">
        <v>2410</v>
      </c>
      <c r="BI57" s="30">
        <f>MIN(E57:BH57)</f>
        <v/>
      </c>
      <c r="BJ57" s="30">
        <f>MAX(E57:BH57)</f>
        <v/>
      </c>
      <c r="BK57" s="30">
        <f>AVERAGE(E57:BH57)</f>
        <v/>
      </c>
    </row>
    <row r="58" ht="19" customHeight="1">
      <c r="A58" s="70" t="n">
        <v>57</v>
      </c>
      <c r="B58" s="26" t="inlineStr">
        <is>
          <t>KDH</t>
        </is>
      </c>
      <c r="C58" s="27" t="inlineStr">
        <is>
          <t>Bất Động Sản &amp; KCN</t>
        </is>
      </c>
      <c r="D58" s="70" t="inlineStr">
        <is>
          <t>HOSE</t>
        </is>
      </c>
      <c r="E58" s="28" t="n">
        <v>26181.818359375</v>
      </c>
      <c r="F58" s="28" t="n">
        <v>26681.818359375</v>
      </c>
      <c r="G58" s="28" t="n">
        <v>25681.818359375</v>
      </c>
      <c r="H58" s="28" t="n">
        <v>27000</v>
      </c>
      <c r="I58" s="28" t="n">
        <v>27500</v>
      </c>
      <c r="J58" s="28" t="n">
        <v>27000</v>
      </c>
      <c r="K58" s="28" t="n">
        <v>27272.7265625</v>
      </c>
      <c r="L58" s="28" t="n">
        <v>26181.818359375</v>
      </c>
      <c r="M58" s="28" t="n">
        <v>26681.818359375</v>
      </c>
      <c r="N58" s="28" t="n">
        <v>28045.455078125</v>
      </c>
      <c r="O58" s="28" t="n">
        <v>28950</v>
      </c>
      <c r="P58" s="28" t="n">
        <v>28800</v>
      </c>
      <c r="Q58" s="28" t="n">
        <v>27400</v>
      </c>
      <c r="R58" s="28" t="n">
        <v>29900</v>
      </c>
      <c r="S58" s="28" t="n">
        <v>36100</v>
      </c>
      <c r="T58" s="28" t="n">
        <v>35900</v>
      </c>
      <c r="U58" s="28" t="n">
        <v>35900</v>
      </c>
      <c r="V58" s="28" t="n">
        <v>36750</v>
      </c>
      <c r="W58" s="28" t="n">
        <v>35000</v>
      </c>
      <c r="X58" s="28" t="n">
        <v>33400</v>
      </c>
      <c r="Y58" s="28" t="n">
        <v>33700</v>
      </c>
      <c r="Z58" s="28" t="n">
        <v>33000</v>
      </c>
      <c r="AA58" s="28" t="n">
        <v>32450</v>
      </c>
      <c r="AB58" s="28" t="n">
        <v>34200</v>
      </c>
      <c r="AC58" s="28" t="n">
        <v>33550</v>
      </c>
      <c r="AD58" s="28" t="n">
        <v>35850</v>
      </c>
      <c r="AE58" s="28" t="n">
        <v>32500</v>
      </c>
      <c r="AF58" s="28" t="n">
        <v>34650</v>
      </c>
      <c r="AG58" s="28" t="n">
        <v>34850</v>
      </c>
      <c r="AH58" s="28" t="n">
        <v>35000</v>
      </c>
      <c r="AI58" s="28" t="n">
        <v>33950</v>
      </c>
      <c r="AJ58" s="28" t="n">
        <v>30500</v>
      </c>
      <c r="AK58" s="28" t="n">
        <v>32650</v>
      </c>
      <c r="AL58" s="28" t="n">
        <v>32050</v>
      </c>
      <c r="AM58" s="28" t="n">
        <v>31500</v>
      </c>
      <c r="AN58" s="28" t="n">
        <v>28600</v>
      </c>
      <c r="AO58" s="28" t="n">
        <v>29750</v>
      </c>
      <c r="AP58" s="28" t="n">
        <v>28900</v>
      </c>
      <c r="AQ58" s="28" t="n">
        <v>27500</v>
      </c>
      <c r="AR58" s="28" t="n">
        <v>25400</v>
      </c>
      <c r="AS58" s="28" t="n">
        <v>28300</v>
      </c>
      <c r="AT58" s="28" t="n">
        <v>28300</v>
      </c>
      <c r="AU58" s="28" t="n">
        <v>27250</v>
      </c>
      <c r="AV58" s="28" t="n">
        <v>25700</v>
      </c>
      <c r="AW58" s="28" t="n">
        <v>26000</v>
      </c>
      <c r="AX58" s="28" t="n">
        <v>25500</v>
      </c>
      <c r="AY58" s="28" t="n">
        <v>26400</v>
      </c>
      <c r="AZ58" s="28" t="n">
        <v>25300</v>
      </c>
      <c r="BA58" s="28" t="n">
        <v>26200</v>
      </c>
      <c r="BB58" s="28" t="n">
        <v>26050</v>
      </c>
      <c r="BC58" s="28" t="n">
        <v>25600</v>
      </c>
      <c r="BD58" s="28" t="n">
        <v>25400</v>
      </c>
      <c r="BE58" s="28" t="n">
        <v>24250</v>
      </c>
      <c r="BF58" s="28" t="n">
        <v>23400</v>
      </c>
      <c r="BG58" s="28" t="n">
        <v>22200</v>
      </c>
      <c r="BH58" s="28" t="n">
        <v>22550</v>
      </c>
      <c r="BI58" s="30">
        <f>MIN(E58:BH58)</f>
        <v/>
      </c>
      <c r="BJ58" s="30">
        <f>MAX(E58:BH58)</f>
        <v/>
      </c>
      <c r="BK58" s="30">
        <f>AVERAGE(E58:BH58)</f>
        <v/>
      </c>
    </row>
    <row r="59" ht="19" customHeight="1">
      <c r="A59" s="70" t="n">
        <v>58</v>
      </c>
      <c r="B59" s="26" t="inlineStr">
        <is>
          <t>DIG</t>
        </is>
      </c>
      <c r="C59" s="27" t="inlineStr">
        <is>
          <t>Bất Động Sản &amp; KCN</t>
        </is>
      </c>
      <c r="D59" s="70" t="inlineStr">
        <is>
          <t>HOSE</t>
        </is>
      </c>
      <c r="E59" s="28" t="n">
        <v>12610.9365234375</v>
      </c>
      <c r="F59" s="28" t="n">
        <v>13017.7412109375</v>
      </c>
      <c r="G59" s="28" t="n">
        <v>12936.3798828125</v>
      </c>
      <c r="H59" s="28" t="n">
        <v>14143.775390625</v>
      </c>
      <c r="I59" s="28" t="n">
        <v>15351.1708984375</v>
      </c>
      <c r="J59" s="28" t="n">
        <v>15351.1708984375</v>
      </c>
      <c r="K59" s="28" t="n">
        <v>14963.080078125</v>
      </c>
      <c r="L59" s="28" t="n">
        <v>14919.9580078125</v>
      </c>
      <c r="M59" s="28" t="n">
        <v>15221.8076171875</v>
      </c>
      <c r="N59" s="28" t="n">
        <v>15868.6259765625</v>
      </c>
      <c r="O59" s="28" t="n">
        <v>17507.234375</v>
      </c>
      <c r="P59" s="28" t="n">
        <v>17852.205078125</v>
      </c>
      <c r="Q59" s="28" t="n">
        <v>18757.751953125</v>
      </c>
      <c r="R59" s="28" t="n">
        <v>19016.478515625</v>
      </c>
      <c r="S59" s="28" t="n">
        <v>21000.056640625</v>
      </c>
      <c r="T59" s="28" t="n">
        <v>21000.056640625</v>
      </c>
      <c r="U59" s="28" t="n">
        <v>19965.146484375</v>
      </c>
      <c r="V59" s="28" t="n">
        <v>21905.603515625</v>
      </c>
      <c r="W59" s="28" t="n">
        <v>20698.208984375</v>
      </c>
      <c r="X59" s="28" t="n">
        <v>20827.572265625</v>
      </c>
      <c r="Y59" s="28" t="n">
        <v>21819.361328125</v>
      </c>
      <c r="Z59" s="28" t="n">
        <v>19361.44921875</v>
      </c>
      <c r="AA59" s="28" t="n">
        <v>19622.640625</v>
      </c>
      <c r="AB59" s="28" t="n">
        <v>23207.546875</v>
      </c>
      <c r="AC59" s="28" t="n">
        <v>20613.20703125</v>
      </c>
      <c r="AD59" s="28" t="n">
        <v>20047.169921875</v>
      </c>
      <c r="AE59" s="28" t="n">
        <v>18584.90625</v>
      </c>
      <c r="AF59" s="28" t="n">
        <v>19292.453125</v>
      </c>
      <c r="AG59" s="28" t="n">
        <v>19811.3203125</v>
      </c>
      <c r="AH59" s="28" t="n">
        <v>19481.1328125</v>
      </c>
      <c r="AI59" s="28" t="n">
        <v>19386.79296875</v>
      </c>
      <c r="AJ59" s="28" t="n">
        <v>17028.302734375</v>
      </c>
      <c r="AK59" s="28" t="n">
        <v>16933.962890625</v>
      </c>
      <c r="AL59" s="28" t="n">
        <v>16509.43359375</v>
      </c>
      <c r="AM59" s="28" t="n">
        <v>15801.88671875</v>
      </c>
      <c r="AN59" s="28" t="n">
        <v>15094.33984375</v>
      </c>
      <c r="AO59" s="28" t="n">
        <v>15235.8486328125</v>
      </c>
      <c r="AP59" s="28" t="n">
        <v>15188.6796875</v>
      </c>
      <c r="AQ59" s="28" t="n">
        <v>15283.0185546875</v>
      </c>
      <c r="AR59" s="28" t="n">
        <v>14433.9619140625</v>
      </c>
      <c r="AS59" s="28" t="n">
        <v>14952.830078125</v>
      </c>
      <c r="AT59" s="28" t="n">
        <v>14952.830078125</v>
      </c>
      <c r="AU59" s="28" t="n">
        <v>14103.7734375</v>
      </c>
      <c r="AV59" s="28" t="n">
        <v>12783.0185546875</v>
      </c>
      <c r="AW59" s="28" t="n">
        <v>12783.0185546875</v>
      </c>
      <c r="AX59" s="28" t="n">
        <v>12594.33984375</v>
      </c>
      <c r="AY59" s="28" t="n">
        <v>13632.0751953125</v>
      </c>
      <c r="AZ59" s="28" t="n">
        <v>13349.056640625</v>
      </c>
      <c r="BA59" s="28" t="n">
        <v>13726.4150390625</v>
      </c>
      <c r="BB59" s="28" t="n">
        <v>13537.736328125</v>
      </c>
      <c r="BC59" s="28" t="n">
        <v>13490.56640625</v>
      </c>
      <c r="BD59" s="28" t="n">
        <v>13867.9248046875</v>
      </c>
      <c r="BE59" s="28" t="n">
        <v>13632.0751953125</v>
      </c>
      <c r="BF59" s="28" t="n">
        <v>14103.7734375</v>
      </c>
      <c r="BG59" s="28" t="n">
        <v>12735.8486328125</v>
      </c>
      <c r="BH59" s="28" t="n">
        <v>12311.3203125</v>
      </c>
      <c r="BI59" s="30">
        <f>MIN(E59:BH59)</f>
        <v/>
      </c>
      <c r="BJ59" s="30">
        <f>MAX(E59:BH59)</f>
        <v/>
      </c>
      <c r="BK59" s="30">
        <f>AVERAGE(E59:BH59)</f>
        <v/>
      </c>
    </row>
    <row r="60" ht="19" customHeight="1">
      <c r="A60" s="70" t="n">
        <v>59</v>
      </c>
      <c r="B60" s="26" t="inlineStr">
        <is>
          <t>HDC</t>
        </is>
      </c>
      <c r="C60" s="27" t="inlineStr">
        <is>
          <t>Bất Động Sản &amp; KCN</t>
        </is>
      </c>
      <c r="D60" s="70" t="inlineStr">
        <is>
          <t>HOSE</t>
        </is>
      </c>
      <c r="E60" s="28" t="n">
        <v>17934.783203125</v>
      </c>
      <c r="F60" s="28" t="n">
        <v>18478.26171875</v>
      </c>
      <c r="G60" s="28" t="n">
        <v>17934.783203125</v>
      </c>
      <c r="H60" s="28" t="n">
        <v>19875.77734375</v>
      </c>
      <c r="I60" s="28" t="n">
        <v>19953.416015625</v>
      </c>
      <c r="J60" s="28" t="n">
        <v>19642.857421875</v>
      </c>
      <c r="K60" s="28" t="n">
        <v>19604.037109375</v>
      </c>
      <c r="L60" s="28" t="n">
        <v>19332.298828125</v>
      </c>
      <c r="M60" s="28" t="n">
        <v>19759.31640625</v>
      </c>
      <c r="N60" s="28" t="n">
        <v>20496.89453125</v>
      </c>
      <c r="O60" s="28" t="n">
        <v>23602.484375</v>
      </c>
      <c r="P60" s="28" t="n">
        <v>25582.298828125</v>
      </c>
      <c r="Q60" s="28" t="n">
        <v>27135.09375</v>
      </c>
      <c r="R60" s="28" t="n">
        <v>27833.8515625</v>
      </c>
      <c r="S60" s="28" t="n">
        <v>28804.34765625</v>
      </c>
      <c r="T60" s="28" t="n">
        <v>27329.193359375</v>
      </c>
      <c r="U60" s="28" t="n">
        <v>27562.111328125</v>
      </c>
      <c r="V60" s="28" t="n">
        <v>29037.267578125</v>
      </c>
      <c r="W60" s="28" t="n">
        <v>27251.552734375</v>
      </c>
      <c r="X60" s="28" t="n">
        <v>27057.453125</v>
      </c>
      <c r="Y60" s="28" t="n">
        <v>28493.7890625</v>
      </c>
      <c r="Z60" s="28" t="n">
        <v>26785.71484375</v>
      </c>
      <c r="AA60" s="28" t="n">
        <v>28338.509765625</v>
      </c>
      <c r="AB60" s="28" t="n">
        <v>32608.6953125</v>
      </c>
      <c r="AC60" s="28" t="n">
        <v>27795.03125</v>
      </c>
      <c r="AD60" s="28" t="n">
        <v>26630.435546875</v>
      </c>
      <c r="AE60" s="28" t="n">
        <v>24844.720703125</v>
      </c>
      <c r="AF60" s="28" t="n">
        <v>24347.826171875</v>
      </c>
      <c r="AG60" s="28" t="n">
        <v>24260.869140625</v>
      </c>
      <c r="AH60" s="28" t="n">
        <v>23695.65234375</v>
      </c>
      <c r="AI60" s="28" t="n">
        <v>23347.826171875</v>
      </c>
      <c r="AJ60" s="28" t="n">
        <v>20869.564453125</v>
      </c>
      <c r="AK60" s="28" t="n">
        <v>20956.521484375</v>
      </c>
      <c r="AL60" s="28" t="n">
        <v>19826.087890625</v>
      </c>
      <c r="AM60" s="28" t="n">
        <v>19739.130859375</v>
      </c>
      <c r="AN60" s="28" t="n">
        <v>17956.521484375</v>
      </c>
      <c r="AO60" s="28" t="n">
        <v>18521.73828125</v>
      </c>
      <c r="AP60" s="28" t="n">
        <v>18956.521484375</v>
      </c>
      <c r="AQ60" s="28" t="n">
        <v>18869.564453125</v>
      </c>
      <c r="AR60" s="28" t="n">
        <v>18304.34765625</v>
      </c>
      <c r="AS60" s="28" t="n">
        <v>18521.73828125</v>
      </c>
      <c r="AT60" s="28" t="n">
        <v>18521.73828125</v>
      </c>
      <c r="AU60" s="28" t="n">
        <v>18173.912109375</v>
      </c>
      <c r="AV60" s="28" t="n">
        <v>16173.9130859375</v>
      </c>
      <c r="AW60" s="28" t="n">
        <v>15652.173828125</v>
      </c>
      <c r="AX60" s="28" t="n">
        <v>15217.3916015625</v>
      </c>
      <c r="AY60" s="28" t="n">
        <v>16478.26171875</v>
      </c>
      <c r="AZ60" s="28" t="n">
        <v>16086.9560546875</v>
      </c>
      <c r="BA60" s="28" t="n">
        <v>16608.6953125</v>
      </c>
      <c r="BB60" s="28" t="n">
        <v>16130.4345703125</v>
      </c>
      <c r="BC60" s="28" t="n">
        <v>16260.869140625</v>
      </c>
      <c r="BD60" s="28" t="n">
        <v>16608.6953125</v>
      </c>
      <c r="BE60" s="28" t="n">
        <v>16130.4345703125</v>
      </c>
      <c r="BF60" s="28" t="n">
        <v>16434.783203125</v>
      </c>
      <c r="BG60" s="28" t="n">
        <v>15652.173828125</v>
      </c>
      <c r="BH60" s="28" t="n">
        <v>15217.3916015625</v>
      </c>
      <c r="BI60" s="30">
        <f>MIN(E60:BH60)</f>
        <v/>
      </c>
      <c r="BJ60" s="30">
        <f>MAX(E60:BH60)</f>
        <v/>
      </c>
      <c r="BK60" s="30">
        <f>AVERAGE(E60:BH60)</f>
        <v/>
      </c>
    </row>
    <row r="61" ht="19" customHeight="1">
      <c r="A61" s="70" t="n">
        <v>60</v>
      </c>
      <c r="B61" s="26" t="inlineStr">
        <is>
          <t>SCR</t>
        </is>
      </c>
      <c r="C61" s="27" t="inlineStr">
        <is>
          <t>Bất Động Sản &amp; KCN</t>
        </is>
      </c>
      <c r="D61" s="70" t="inlineStr">
        <is>
          <t>HOSE</t>
        </is>
      </c>
      <c r="E61" s="28" t="n">
        <v>5900</v>
      </c>
      <c r="F61" s="28" t="n">
        <v>5900</v>
      </c>
      <c r="G61" s="28" t="n">
        <v>6030</v>
      </c>
      <c r="H61" s="28" t="n">
        <v>6320</v>
      </c>
      <c r="I61" s="28" t="n">
        <v>7700</v>
      </c>
      <c r="J61" s="28" t="n">
        <v>7500</v>
      </c>
      <c r="K61" s="28" t="n">
        <v>7200</v>
      </c>
      <c r="L61" s="28" t="n">
        <v>7250</v>
      </c>
      <c r="M61" s="28" t="n">
        <v>7280</v>
      </c>
      <c r="N61" s="28" t="n">
        <v>7520</v>
      </c>
      <c r="O61" s="28" t="n">
        <v>8440</v>
      </c>
      <c r="P61" s="28" t="n">
        <v>8300</v>
      </c>
      <c r="Q61" s="28" t="n">
        <v>9700</v>
      </c>
      <c r="R61" s="28" t="n">
        <v>9450</v>
      </c>
      <c r="S61" s="28" t="n">
        <v>10400</v>
      </c>
      <c r="T61" s="28" t="n">
        <v>9200</v>
      </c>
      <c r="U61" s="28" t="n">
        <v>8910</v>
      </c>
      <c r="V61" s="28" t="n">
        <v>9280</v>
      </c>
      <c r="W61" s="28" t="n">
        <v>8620</v>
      </c>
      <c r="X61" s="28" t="n">
        <v>9600</v>
      </c>
      <c r="Y61" s="28" t="n">
        <v>10200</v>
      </c>
      <c r="Z61" s="28" t="n">
        <v>9270</v>
      </c>
      <c r="AA61" s="28" t="n">
        <v>9300</v>
      </c>
      <c r="AB61" s="28" t="n">
        <v>9850</v>
      </c>
      <c r="AC61" s="28" t="n">
        <v>8390</v>
      </c>
      <c r="AD61" s="28" t="n">
        <v>8680</v>
      </c>
      <c r="AE61" s="28" t="n">
        <v>8080</v>
      </c>
      <c r="AF61" s="28" t="n">
        <v>8780</v>
      </c>
      <c r="AG61" s="28" t="n">
        <v>8740</v>
      </c>
      <c r="AH61" s="28" t="n">
        <v>8310</v>
      </c>
      <c r="AI61" s="28" t="n">
        <v>8160</v>
      </c>
      <c r="AJ61" s="28" t="n">
        <v>7430</v>
      </c>
      <c r="AK61" s="28" t="n">
        <v>7600</v>
      </c>
      <c r="AL61" s="28" t="n">
        <v>7500</v>
      </c>
      <c r="AM61" s="28" t="n">
        <v>7520</v>
      </c>
      <c r="AN61" s="28" t="n">
        <v>7210</v>
      </c>
      <c r="AO61" s="28" t="n">
        <v>7400</v>
      </c>
      <c r="AP61" s="28" t="n">
        <v>7260</v>
      </c>
      <c r="AQ61" s="28" t="n">
        <v>7150</v>
      </c>
      <c r="AR61" s="28" t="n">
        <v>6900</v>
      </c>
      <c r="AS61" s="28" t="n">
        <v>6890</v>
      </c>
      <c r="AT61" s="28" t="n">
        <v>6890</v>
      </c>
      <c r="AU61" s="28" t="n">
        <v>6450</v>
      </c>
      <c r="AV61" s="28" t="n">
        <v>6010</v>
      </c>
      <c r="AW61" s="28" t="n">
        <v>5710</v>
      </c>
      <c r="AX61" s="28" t="n">
        <v>5870</v>
      </c>
      <c r="AY61" s="28" t="n">
        <v>6240</v>
      </c>
      <c r="AZ61" s="28" t="n">
        <v>6220</v>
      </c>
      <c r="BA61" s="28" t="n">
        <v>6250</v>
      </c>
      <c r="BB61" s="28" t="n">
        <v>6230</v>
      </c>
      <c r="BC61" s="28" t="n">
        <v>6030</v>
      </c>
      <c r="BD61" s="28" t="n">
        <v>6050</v>
      </c>
      <c r="BE61" s="28" t="n">
        <v>5710</v>
      </c>
      <c r="BF61" s="28" t="n">
        <v>5650</v>
      </c>
      <c r="BG61" s="28" t="n">
        <v>5350</v>
      </c>
      <c r="BH61" s="28" t="n">
        <v>5280</v>
      </c>
      <c r="BI61" s="30">
        <f>MIN(E61:BH61)</f>
        <v/>
      </c>
      <c r="BJ61" s="30">
        <f>MAX(E61:BH61)</f>
        <v/>
      </c>
      <c r="BK61" s="30">
        <f>AVERAGE(E61:BH61)</f>
        <v/>
      </c>
    </row>
    <row r="62" ht="19" customHeight="1">
      <c r="A62" s="70" t="n">
        <v>61</v>
      </c>
      <c r="B62" s="26" t="inlineStr">
        <is>
          <t>NHA</t>
        </is>
      </c>
      <c r="C62" s="27" t="inlineStr">
        <is>
          <t>Bất Động Sản &amp; KCN</t>
        </is>
      </c>
      <c r="D62" s="70" t="inlineStr">
        <is>
          <t>HOSE</t>
        </is>
      </c>
      <c r="E62" s="28" t="n">
        <v>15262.2001953125</v>
      </c>
      <c r="F62" s="28" t="n">
        <v>15585.3994140625</v>
      </c>
      <c r="G62" s="28" t="n">
        <v>14939</v>
      </c>
      <c r="H62" s="28" t="n">
        <v>16353.896484375</v>
      </c>
      <c r="I62" s="28" t="n">
        <v>17064.935546875</v>
      </c>
      <c r="J62" s="28" t="n">
        <v>16353.896484375</v>
      </c>
      <c r="K62" s="28" t="n">
        <v>15919.3720703125</v>
      </c>
      <c r="L62" s="28" t="n">
        <v>15840.3681640625</v>
      </c>
      <c r="M62" s="28" t="n">
        <v>16116.8828125</v>
      </c>
      <c r="N62" s="28" t="n">
        <v>16748.91796875</v>
      </c>
      <c r="O62" s="28" t="n">
        <v>18329.00390625</v>
      </c>
      <c r="P62" s="28" t="n">
        <v>17657.466796875</v>
      </c>
      <c r="Q62" s="28" t="n">
        <v>18526.515625</v>
      </c>
      <c r="R62" s="28" t="n">
        <v>18961.0390625</v>
      </c>
      <c r="S62" s="28" t="n">
        <v>20975.6484375</v>
      </c>
      <c r="T62" s="28" t="n">
        <v>19909.091796875</v>
      </c>
      <c r="U62" s="28" t="n">
        <v>18566.017578125</v>
      </c>
      <c r="V62" s="28" t="n">
        <v>19593.07421875</v>
      </c>
      <c r="W62" s="28" t="n">
        <v>18131.494140625</v>
      </c>
      <c r="X62" s="28" t="n">
        <v>18052.48828125</v>
      </c>
      <c r="Y62" s="28" t="n">
        <v>19119.046875</v>
      </c>
      <c r="Z62" s="28" t="n">
        <v>17222.943359375</v>
      </c>
      <c r="AA62" s="28" t="n">
        <v>17143.939453125</v>
      </c>
      <c r="AB62" s="28" t="n">
        <v>17854.978515625</v>
      </c>
      <c r="AC62" s="28" t="n">
        <v>16472.40234375</v>
      </c>
      <c r="AD62" s="28" t="n">
        <v>16630.412109375</v>
      </c>
      <c r="AE62" s="28" t="n">
        <v>15840.3681640625</v>
      </c>
      <c r="AF62" s="28" t="n">
        <v>16156.3857421875</v>
      </c>
      <c r="AG62" s="28" t="n">
        <v>16116.8828125</v>
      </c>
      <c r="AH62" s="28" t="n">
        <v>16590.908203125</v>
      </c>
      <c r="AI62" s="28" t="n">
        <v>16454.544921875</v>
      </c>
      <c r="AJ62" s="28" t="n">
        <v>15227.2724609375</v>
      </c>
      <c r="AK62" s="28" t="n">
        <v>15272.7275390625</v>
      </c>
      <c r="AL62" s="28" t="n">
        <v>14909.0908203125</v>
      </c>
      <c r="AM62" s="28" t="n">
        <v>14409.0908203125</v>
      </c>
      <c r="AN62" s="28" t="n">
        <v>13636.36328125</v>
      </c>
      <c r="AO62" s="28" t="n">
        <v>14136.36328125</v>
      </c>
      <c r="AP62" s="28" t="n">
        <v>14136.36328125</v>
      </c>
      <c r="AQ62" s="28" t="n">
        <v>13818.181640625</v>
      </c>
      <c r="AR62" s="28" t="n">
        <v>13545.4541015625</v>
      </c>
      <c r="AS62" s="28" t="n">
        <v>13409.0908203125</v>
      </c>
      <c r="AT62" s="28" t="n">
        <v>13409.0908203125</v>
      </c>
      <c r="AU62" s="28" t="n">
        <v>13272.7275390625</v>
      </c>
      <c r="AV62" s="28" t="n">
        <v>11863.63671875</v>
      </c>
      <c r="AW62" s="28" t="n">
        <v>11363.63671875</v>
      </c>
      <c r="AX62" s="28" t="n">
        <v>11272.7275390625</v>
      </c>
      <c r="AY62" s="28" t="n">
        <v>12272.7275390625</v>
      </c>
      <c r="AZ62" s="28" t="n">
        <v>11863.63671875</v>
      </c>
      <c r="BA62" s="28" t="n">
        <v>12500</v>
      </c>
      <c r="BB62" s="28" t="n">
        <v>12227.2724609375</v>
      </c>
      <c r="BC62" s="28" t="n">
        <v>11863.63671875</v>
      </c>
      <c r="BD62" s="28" t="n">
        <v>11772.7275390625</v>
      </c>
      <c r="BE62" s="28" t="n">
        <v>11454.5458984375</v>
      </c>
      <c r="BF62" s="28" t="n">
        <v>11363.63671875</v>
      </c>
      <c r="BG62" s="28" t="n">
        <v>10727.2724609375</v>
      </c>
      <c r="BH62" s="28" t="n">
        <v>10636.36328125</v>
      </c>
      <c r="BI62" s="30">
        <f>MIN(E62:BH62)</f>
        <v/>
      </c>
      <c r="BJ62" s="30">
        <f>MAX(E62:BH62)</f>
        <v/>
      </c>
      <c r="BK62" s="30">
        <f>AVERAGE(E62:BH62)</f>
        <v/>
      </c>
    </row>
    <row r="63" ht="19" customHeight="1">
      <c r="A63" s="70" t="n">
        <v>62</v>
      </c>
      <c r="B63" s="26" t="inlineStr">
        <is>
          <t>SZC</t>
        </is>
      </c>
      <c r="C63" s="27" t="inlineStr">
        <is>
          <t>Bất Động Sản &amp; KCN</t>
        </is>
      </c>
      <c r="D63" s="70" t="inlineStr">
        <is>
          <t>HOSE</t>
        </is>
      </c>
      <c r="E63" s="28" t="n">
        <v>32500</v>
      </c>
      <c r="F63" s="28" t="n">
        <v>33750</v>
      </c>
      <c r="G63" s="28" t="n">
        <v>33150</v>
      </c>
      <c r="H63" s="28" t="n">
        <v>35250</v>
      </c>
      <c r="I63" s="28" t="n">
        <v>35200</v>
      </c>
      <c r="J63" s="28" t="n">
        <v>33450</v>
      </c>
      <c r="K63" s="28" t="n">
        <v>33450</v>
      </c>
      <c r="L63" s="28" t="n">
        <v>37850</v>
      </c>
      <c r="M63" s="28" t="n">
        <v>37000</v>
      </c>
      <c r="N63" s="28" t="n">
        <v>36750</v>
      </c>
      <c r="O63" s="28" t="n">
        <v>37350</v>
      </c>
      <c r="P63" s="28" t="n">
        <v>38450</v>
      </c>
      <c r="Q63" s="28" t="n">
        <v>37600</v>
      </c>
      <c r="R63" s="28" t="n">
        <v>37500</v>
      </c>
      <c r="S63" s="28" t="n">
        <v>39000</v>
      </c>
      <c r="T63" s="28" t="n">
        <v>36850</v>
      </c>
      <c r="U63" s="28" t="n">
        <v>35450</v>
      </c>
      <c r="V63" s="28" t="n">
        <v>34850</v>
      </c>
      <c r="W63" s="28" t="n">
        <v>33800</v>
      </c>
      <c r="X63" s="28" t="n">
        <v>34050</v>
      </c>
      <c r="Y63" s="28" t="n">
        <v>35000</v>
      </c>
      <c r="Z63" s="28" t="n">
        <v>34000</v>
      </c>
      <c r="AA63" s="28" t="n">
        <v>33450</v>
      </c>
      <c r="AB63" s="28" t="n">
        <v>32500</v>
      </c>
      <c r="AC63" s="28" t="n">
        <v>29800</v>
      </c>
      <c r="AD63" s="28" t="n">
        <v>31000</v>
      </c>
      <c r="AE63" s="28" t="n">
        <v>30300</v>
      </c>
      <c r="AF63" s="28" t="n">
        <v>32000</v>
      </c>
      <c r="AG63" s="28" t="n">
        <v>31900</v>
      </c>
      <c r="AH63" s="28" t="n">
        <v>30900</v>
      </c>
      <c r="AI63" s="28" t="n">
        <v>30950</v>
      </c>
      <c r="AJ63" s="28" t="n">
        <v>29000</v>
      </c>
      <c r="AK63" s="28" t="n">
        <v>29550</v>
      </c>
      <c r="AL63" s="28" t="n">
        <v>28900</v>
      </c>
      <c r="AM63" s="28" t="n">
        <v>29150</v>
      </c>
      <c r="AN63" s="28" t="n">
        <v>30300</v>
      </c>
      <c r="AO63" s="28" t="n">
        <v>31200</v>
      </c>
      <c r="AP63" s="28" t="n">
        <v>31250</v>
      </c>
      <c r="AQ63" s="28" t="n">
        <v>32200</v>
      </c>
      <c r="AR63" s="28" t="n">
        <v>35050</v>
      </c>
      <c r="AS63" s="28" t="n">
        <v>33850</v>
      </c>
      <c r="AT63" s="28" t="n">
        <v>33850</v>
      </c>
      <c r="AU63" s="28" t="n">
        <v>34500</v>
      </c>
      <c r="AV63" s="28" t="n">
        <v>30400</v>
      </c>
      <c r="AW63" s="28" t="n">
        <v>29500</v>
      </c>
      <c r="AX63" s="28" t="n">
        <v>29050</v>
      </c>
      <c r="AY63" s="28" t="n">
        <v>29500</v>
      </c>
      <c r="AZ63" s="28" t="n">
        <v>28150</v>
      </c>
      <c r="BA63" s="28" t="n">
        <v>28850</v>
      </c>
      <c r="BB63" s="28" t="n">
        <v>29100</v>
      </c>
      <c r="BC63" s="28" t="n">
        <v>27700</v>
      </c>
      <c r="BD63" s="28" t="n">
        <v>27200</v>
      </c>
      <c r="BE63" s="28" t="n">
        <v>26700</v>
      </c>
      <c r="BF63" s="28" t="n">
        <v>25900</v>
      </c>
      <c r="BG63" s="28" t="n">
        <v>24700</v>
      </c>
      <c r="BH63" s="28" t="n">
        <v>22650</v>
      </c>
      <c r="BI63" s="30">
        <f>MIN(E63:BH63)</f>
        <v/>
      </c>
      <c r="BJ63" s="30">
        <f>MAX(E63:BH63)</f>
        <v/>
      </c>
      <c r="BK63" s="30">
        <f>AVERAGE(E63:BH63)</f>
        <v/>
      </c>
    </row>
    <row r="64" ht="19" customHeight="1">
      <c r="A64" s="71" t="n">
        <v>63</v>
      </c>
      <c r="B64" s="32" t="inlineStr">
        <is>
          <t>HSG</t>
        </is>
      </c>
      <c r="C64" s="33" t="inlineStr">
        <is>
          <t>Thép, Vật Liệu &amp; Xây Dựng</t>
        </is>
      </c>
      <c r="D64" s="71" t="inlineStr">
        <is>
          <t>HOSE</t>
        </is>
      </c>
      <c r="E64" s="34" t="n">
        <v>11346.154296875</v>
      </c>
      <c r="F64" s="34" t="n">
        <v>12269.23046875</v>
      </c>
      <c r="G64" s="34" t="n">
        <v>12500</v>
      </c>
      <c r="H64" s="34" t="n">
        <v>12538.4619140625</v>
      </c>
      <c r="I64" s="34" t="n">
        <v>12576.9228515625</v>
      </c>
      <c r="J64" s="34" t="n">
        <v>12807.6923828125</v>
      </c>
      <c r="K64" s="34" t="n">
        <v>12884.615234375</v>
      </c>
      <c r="L64" s="34" t="n">
        <v>12884.615234375</v>
      </c>
      <c r="M64" s="34" t="n">
        <v>13153.845703125</v>
      </c>
      <c r="N64" s="34" t="n">
        <v>13615.384765625</v>
      </c>
      <c r="O64" s="34" t="n">
        <v>13846.154296875</v>
      </c>
      <c r="P64" s="34" t="n">
        <v>14307.6923828125</v>
      </c>
      <c r="Q64" s="34" t="n">
        <v>14346.154296875</v>
      </c>
      <c r="R64" s="34" t="n">
        <v>15076.9228515625</v>
      </c>
      <c r="S64" s="34" t="n">
        <v>14961.5380859375</v>
      </c>
      <c r="T64" s="34" t="n">
        <v>14461.5380859375</v>
      </c>
      <c r="U64" s="34" t="n">
        <v>14115.384765625</v>
      </c>
      <c r="V64" s="34" t="n">
        <v>16115.384765625</v>
      </c>
      <c r="W64" s="34" t="n">
        <v>15384.615234375</v>
      </c>
      <c r="X64" s="34" t="n">
        <v>15153.845703125</v>
      </c>
      <c r="Y64" s="34" t="n">
        <v>14923.0771484375</v>
      </c>
      <c r="Z64" s="34" t="n">
        <v>14230.76953125</v>
      </c>
      <c r="AA64" s="34" t="n">
        <v>14500</v>
      </c>
      <c r="AB64" s="34" t="n">
        <v>14230.76953125</v>
      </c>
      <c r="AC64" s="34" t="n">
        <v>12692.3076171875</v>
      </c>
      <c r="AD64" s="34" t="n">
        <v>12807.6923828125</v>
      </c>
      <c r="AE64" s="34" t="n">
        <v>12961.5380859375</v>
      </c>
      <c r="AF64" s="34" t="n">
        <v>13115.384765625</v>
      </c>
      <c r="AG64" s="34" t="n">
        <v>13153.845703125</v>
      </c>
      <c r="AH64" s="34" t="n">
        <v>12846.154296875</v>
      </c>
      <c r="AI64" s="34" t="n">
        <v>12807.6923828125</v>
      </c>
      <c r="AJ64" s="34" t="n">
        <v>11846.154296875</v>
      </c>
      <c r="AK64" s="34" t="n">
        <v>12230.76953125</v>
      </c>
      <c r="AL64" s="34" t="n">
        <v>12346.154296875</v>
      </c>
      <c r="AM64" s="34" t="n">
        <v>12115.384765625</v>
      </c>
      <c r="AN64" s="34" t="n">
        <v>12000</v>
      </c>
      <c r="AO64" s="34" t="n">
        <v>12846.154296875</v>
      </c>
      <c r="AP64" s="34" t="n">
        <v>12576.9228515625</v>
      </c>
      <c r="AQ64" s="34" t="n">
        <v>12384.615234375</v>
      </c>
      <c r="AR64" s="34" t="n">
        <v>12000</v>
      </c>
      <c r="AS64" s="34" t="n">
        <v>11923.0771484375</v>
      </c>
      <c r="AT64" s="34" t="n">
        <v>11923.0771484375</v>
      </c>
      <c r="AU64" s="34" t="n">
        <v>12423.0771484375</v>
      </c>
      <c r="AV64" s="34" t="n">
        <v>11384.615234375</v>
      </c>
      <c r="AW64" s="34" t="n">
        <v>11038.4619140625</v>
      </c>
      <c r="AX64" s="34" t="n">
        <v>10923.0771484375</v>
      </c>
      <c r="AY64" s="34" t="n">
        <v>11461.5380859375</v>
      </c>
      <c r="AZ64" s="34" t="n">
        <v>11384.615234375</v>
      </c>
      <c r="BA64" s="34" t="n">
        <v>11769.23046875</v>
      </c>
      <c r="BB64" s="34" t="n">
        <v>12307.6923828125</v>
      </c>
      <c r="BC64" s="34" t="n">
        <v>12153.845703125</v>
      </c>
      <c r="BD64" s="34" t="n">
        <v>12269.23046875</v>
      </c>
      <c r="BE64" s="34" t="n">
        <v>12450</v>
      </c>
      <c r="BF64" s="34" t="n">
        <v>12100</v>
      </c>
      <c r="BG64" s="34" t="n">
        <v>12600</v>
      </c>
      <c r="BH64" s="34" t="n">
        <v>12450</v>
      </c>
      <c r="BI64" s="36">
        <f>MIN(E64:BH64)</f>
        <v/>
      </c>
      <c r="BJ64" s="36">
        <f>MAX(E64:BH64)</f>
        <v/>
      </c>
      <c r="BK64" s="36">
        <f>AVERAGE(E64:BH64)</f>
        <v/>
      </c>
    </row>
    <row r="65" ht="19" customHeight="1">
      <c r="A65" s="71" t="n">
        <v>64</v>
      </c>
      <c r="B65" s="32" t="inlineStr">
        <is>
          <t>CTD</t>
        </is>
      </c>
      <c r="C65" s="33" t="inlineStr">
        <is>
          <t>Thép, Vật Liệu &amp; Xây Dựng</t>
        </is>
      </c>
      <c r="D65" s="71" t="inlineStr">
        <is>
          <t>HOSE</t>
        </is>
      </c>
      <c r="E65" s="34" t="n">
        <v>70929.703125</v>
      </c>
      <c r="F65" s="34" t="n">
        <v>74739.2265625</v>
      </c>
      <c r="G65" s="34" t="n">
        <v>70929.703125</v>
      </c>
      <c r="H65" s="34" t="n">
        <v>74648.5234375</v>
      </c>
      <c r="I65" s="34" t="n">
        <v>74013.6015625</v>
      </c>
      <c r="J65" s="34" t="n">
        <v>73560.09375</v>
      </c>
      <c r="K65" s="34" t="n">
        <v>77097.5078125</v>
      </c>
      <c r="L65" s="34" t="n">
        <v>76099.7734375</v>
      </c>
      <c r="M65" s="34" t="n">
        <v>75464.8515625</v>
      </c>
      <c r="N65" s="34" t="n">
        <v>76462.5859375</v>
      </c>
      <c r="O65" s="34" t="n">
        <v>79546.484375</v>
      </c>
      <c r="P65" s="34" t="n">
        <v>77188.2109375</v>
      </c>
      <c r="Q65" s="34" t="n">
        <v>73469.390625</v>
      </c>
      <c r="R65" s="34" t="n">
        <v>75283.4453125</v>
      </c>
      <c r="S65" s="34" t="n">
        <v>74648.5234375</v>
      </c>
      <c r="T65" s="34" t="n">
        <v>69841.2734375</v>
      </c>
      <c r="U65" s="34" t="n">
        <v>69659.8671875</v>
      </c>
      <c r="V65" s="34" t="n">
        <v>71020.40625</v>
      </c>
      <c r="W65" s="34" t="n">
        <v>68662.1328125</v>
      </c>
      <c r="X65" s="34" t="n">
        <v>74195.0078125</v>
      </c>
      <c r="Y65" s="34" t="n">
        <v>75011.3359375</v>
      </c>
      <c r="Z65" s="34" t="n">
        <v>74013.6015625</v>
      </c>
      <c r="AA65" s="34" t="n">
        <v>78004.53125</v>
      </c>
      <c r="AB65" s="34" t="n">
        <v>77188.2109375</v>
      </c>
      <c r="AC65" s="34" t="n">
        <v>81451.25</v>
      </c>
      <c r="AD65" s="34" t="n">
        <v>90702.9453125</v>
      </c>
      <c r="AE65" s="34" t="n">
        <v>76825.3984375</v>
      </c>
      <c r="AF65" s="34" t="n">
        <v>79818.59375</v>
      </c>
      <c r="AG65" s="34" t="n">
        <v>77913.8359375</v>
      </c>
      <c r="AH65" s="34" t="n">
        <v>77551.0234375</v>
      </c>
      <c r="AI65" s="34" t="n">
        <v>76643.9921875</v>
      </c>
      <c r="AJ65" s="34" t="n">
        <v>72562.359375</v>
      </c>
      <c r="AK65" s="34" t="n">
        <v>71927.4375</v>
      </c>
      <c r="AL65" s="34" t="n">
        <v>71523.8125</v>
      </c>
      <c r="AM65" s="34" t="n">
        <v>72380.953125</v>
      </c>
      <c r="AN65" s="34" t="n">
        <v>68952.3828125</v>
      </c>
      <c r="AO65" s="34" t="n">
        <v>72952.3828125</v>
      </c>
      <c r="AP65" s="34" t="n">
        <v>71047.6171875</v>
      </c>
      <c r="AQ65" s="34" t="n">
        <v>73142.859375</v>
      </c>
      <c r="AR65" s="34" t="n">
        <v>76285.7109375</v>
      </c>
      <c r="AS65" s="34" t="n">
        <v>77047.6171875</v>
      </c>
      <c r="AT65" s="34" t="n">
        <v>77047.6171875</v>
      </c>
      <c r="AU65" s="34" t="n">
        <v>84380.953125</v>
      </c>
      <c r="AV65" s="34" t="n">
        <v>76952.3828125</v>
      </c>
      <c r="AW65" s="34" t="n">
        <v>76571.4296875</v>
      </c>
      <c r="AX65" s="34" t="n">
        <v>79047.6171875</v>
      </c>
      <c r="AY65" s="34" t="n">
        <v>81619.046875</v>
      </c>
      <c r="AZ65" s="34" t="n">
        <v>76190.4765625</v>
      </c>
      <c r="BA65" s="34" t="n">
        <v>78095.234375</v>
      </c>
      <c r="BB65" s="34" t="n">
        <v>78800</v>
      </c>
      <c r="BC65" s="34" t="n">
        <v>87200</v>
      </c>
      <c r="BD65" s="34" t="n">
        <v>86800</v>
      </c>
      <c r="BE65" s="34" t="n">
        <v>76800</v>
      </c>
      <c r="BF65" s="34" t="n">
        <v>76600</v>
      </c>
      <c r="BG65" s="34" t="n">
        <v>73800</v>
      </c>
      <c r="BH65" s="34" t="n">
        <v>71800</v>
      </c>
      <c r="BI65" s="36">
        <f>MIN(E65:BH65)</f>
        <v/>
      </c>
      <c r="BJ65" s="36">
        <f>MAX(E65:BH65)</f>
        <v/>
      </c>
      <c r="BK65" s="36">
        <f>AVERAGE(E65:BH65)</f>
        <v/>
      </c>
    </row>
    <row r="66" ht="19" customHeight="1">
      <c r="A66" s="71" t="n">
        <v>65</v>
      </c>
      <c r="B66" s="32" t="inlineStr">
        <is>
          <t>HT1</t>
        </is>
      </c>
      <c r="C66" s="33" t="inlineStr">
        <is>
          <t>Thép, Vật Liệu &amp; Xây Dựng</t>
        </is>
      </c>
      <c r="D66" s="71" t="inlineStr">
        <is>
          <t>HOSE</t>
        </is>
      </c>
      <c r="E66" s="34" t="n">
        <v>11100</v>
      </c>
      <c r="F66" s="34" t="n">
        <v>11400</v>
      </c>
      <c r="G66" s="34" t="n">
        <v>11000</v>
      </c>
      <c r="H66" s="34" t="n">
        <v>11300</v>
      </c>
      <c r="I66" s="34" t="n">
        <v>11450</v>
      </c>
      <c r="J66" s="34" t="n">
        <v>11950</v>
      </c>
      <c r="K66" s="34" t="n">
        <v>11700</v>
      </c>
      <c r="L66" s="34" t="n">
        <v>12100</v>
      </c>
      <c r="M66" s="34" t="n">
        <v>12350</v>
      </c>
      <c r="N66" s="34" t="n">
        <v>13100</v>
      </c>
      <c r="O66" s="34" t="n">
        <v>13050</v>
      </c>
      <c r="P66" s="34" t="n">
        <v>14000</v>
      </c>
      <c r="Q66" s="34" t="n">
        <v>14200</v>
      </c>
      <c r="R66" s="34" t="n">
        <v>15700</v>
      </c>
      <c r="S66" s="34" t="n">
        <v>16700</v>
      </c>
      <c r="T66" s="34" t="n">
        <v>16500</v>
      </c>
      <c r="U66" s="34" t="n">
        <v>17400</v>
      </c>
      <c r="V66" s="34" t="n">
        <v>17450</v>
      </c>
      <c r="W66" s="34" t="n">
        <v>18200</v>
      </c>
      <c r="X66" s="34" t="n">
        <v>18000</v>
      </c>
      <c r="Y66" s="34" t="n">
        <v>17850</v>
      </c>
      <c r="Z66" s="34" t="n">
        <v>17000</v>
      </c>
      <c r="AA66" s="34" t="n">
        <v>17900</v>
      </c>
      <c r="AB66" s="34" t="n">
        <v>17750</v>
      </c>
      <c r="AC66" s="34" t="n">
        <v>18700</v>
      </c>
      <c r="AD66" s="34" t="n">
        <v>16750</v>
      </c>
      <c r="AE66" s="34" t="n">
        <v>15900</v>
      </c>
      <c r="AF66" s="34" t="n">
        <v>16200</v>
      </c>
      <c r="AG66" s="34" t="n">
        <v>15850</v>
      </c>
      <c r="AH66" s="34" t="n">
        <v>15750</v>
      </c>
      <c r="AI66" s="34" t="n">
        <v>15300</v>
      </c>
      <c r="AJ66" s="34" t="n">
        <v>14500</v>
      </c>
      <c r="AK66" s="34" t="n">
        <v>15400</v>
      </c>
      <c r="AL66" s="34" t="n">
        <v>15450</v>
      </c>
      <c r="AM66" s="34" t="n">
        <v>16500</v>
      </c>
      <c r="AN66" s="34" t="n">
        <v>16500</v>
      </c>
      <c r="AO66" s="34" t="n">
        <v>16850</v>
      </c>
      <c r="AP66" s="34" t="n">
        <v>16450</v>
      </c>
      <c r="AQ66" s="34" t="n">
        <v>14850</v>
      </c>
      <c r="AR66" s="34" t="n">
        <v>15300</v>
      </c>
      <c r="AS66" s="34" t="n">
        <v>15400</v>
      </c>
      <c r="AT66" s="34" t="n">
        <v>15400</v>
      </c>
      <c r="AU66" s="34" t="n">
        <v>17050</v>
      </c>
      <c r="AV66" s="34" t="n">
        <v>17100</v>
      </c>
      <c r="AW66" s="34" t="n">
        <v>16900</v>
      </c>
      <c r="AX66" s="34" t="n">
        <v>15550</v>
      </c>
      <c r="AY66" s="34" t="n">
        <v>15050</v>
      </c>
      <c r="AZ66" s="34" t="n">
        <v>14950</v>
      </c>
      <c r="BA66" s="34" t="n">
        <v>15350</v>
      </c>
      <c r="BB66" s="34" t="n">
        <v>15100</v>
      </c>
      <c r="BC66" s="34" t="n">
        <v>15050</v>
      </c>
      <c r="BD66" s="34" t="n">
        <v>14800</v>
      </c>
      <c r="BE66" s="34" t="n">
        <v>14400</v>
      </c>
      <c r="BF66" s="34" t="n">
        <v>13800</v>
      </c>
      <c r="BG66" s="34" t="n">
        <v>13800</v>
      </c>
      <c r="BH66" s="34" t="n">
        <v>13600</v>
      </c>
      <c r="BI66" s="36">
        <f>MIN(E66:BH66)</f>
        <v/>
      </c>
      <c r="BJ66" s="36">
        <f>MAX(E66:BH66)</f>
        <v/>
      </c>
      <c r="BK66" s="36">
        <f>AVERAGE(E66:BH66)</f>
        <v/>
      </c>
    </row>
    <row r="67" ht="19" customHeight="1">
      <c r="A67" s="71" t="n">
        <v>66</v>
      </c>
      <c r="B67" s="32" t="inlineStr">
        <is>
          <t>NKG</t>
        </is>
      </c>
      <c r="C67" s="33" t="inlineStr">
        <is>
          <t>Thép, Vật Liệu &amp; Xây Dựng</t>
        </is>
      </c>
      <c r="D67" s="71" t="inlineStr">
        <is>
          <t>HOSE</t>
        </is>
      </c>
      <c r="E67" s="34" t="n">
        <v>11318.181640625</v>
      </c>
      <c r="F67" s="34" t="n">
        <v>11681.818359375</v>
      </c>
      <c r="G67" s="34" t="n">
        <v>11545.4541015625</v>
      </c>
      <c r="H67" s="34" t="n">
        <v>11954.5458984375</v>
      </c>
      <c r="I67" s="34" t="n">
        <v>12181.818359375</v>
      </c>
      <c r="J67" s="34" t="n">
        <v>12090.9091796875</v>
      </c>
      <c r="K67" s="34" t="n">
        <v>11954.5458984375</v>
      </c>
      <c r="L67" s="34" t="n">
        <v>12090.9091796875</v>
      </c>
      <c r="M67" s="34" t="n">
        <v>12409.0908203125</v>
      </c>
      <c r="N67" s="34" t="n">
        <v>12727.2724609375</v>
      </c>
      <c r="O67" s="34" t="n">
        <v>13000</v>
      </c>
      <c r="P67" s="34" t="n">
        <v>13409.0908203125</v>
      </c>
      <c r="Q67" s="34" t="n">
        <v>14681.818359375</v>
      </c>
      <c r="R67" s="34" t="n">
        <v>15318.181640625</v>
      </c>
      <c r="S67" s="34" t="n">
        <v>15136.36328125</v>
      </c>
      <c r="T67" s="34" t="n">
        <v>14545.4541015625</v>
      </c>
      <c r="U67" s="34" t="n">
        <v>14363.63671875</v>
      </c>
      <c r="V67" s="34" t="n">
        <v>16454.544921875</v>
      </c>
      <c r="W67" s="34" t="n">
        <v>17409.091796875</v>
      </c>
      <c r="X67" s="34" t="n">
        <v>18090.908203125</v>
      </c>
      <c r="Y67" s="34" t="n">
        <v>16772.7265625</v>
      </c>
      <c r="Z67" s="34" t="n">
        <v>15545.4541015625</v>
      </c>
      <c r="AA67" s="34" t="n">
        <v>16136.36328125</v>
      </c>
      <c r="AB67" s="34" t="n">
        <v>15863.63671875</v>
      </c>
      <c r="AC67" s="34" t="n">
        <v>14454.5458984375</v>
      </c>
      <c r="AD67" s="34" t="n">
        <v>14500</v>
      </c>
      <c r="AE67" s="34" t="n">
        <v>15181.818359375</v>
      </c>
      <c r="AF67" s="34" t="n">
        <v>15500</v>
      </c>
      <c r="AG67" s="34" t="n">
        <v>15000</v>
      </c>
      <c r="AH67" s="34" t="n">
        <v>14727.2724609375</v>
      </c>
      <c r="AI67" s="34" t="n">
        <v>14636.36328125</v>
      </c>
      <c r="AJ67" s="34" t="n">
        <v>13272.7275390625</v>
      </c>
      <c r="AK67" s="34" t="n">
        <v>13636.36328125</v>
      </c>
      <c r="AL67" s="34" t="n">
        <v>13909.0908203125</v>
      </c>
      <c r="AM67" s="34" t="n">
        <v>13500</v>
      </c>
      <c r="AN67" s="34" t="n">
        <v>13454.5458984375</v>
      </c>
      <c r="AO67" s="34" t="n">
        <v>14681.818359375</v>
      </c>
      <c r="AP67" s="34" t="n">
        <v>13954.5458984375</v>
      </c>
      <c r="AQ67" s="34" t="n">
        <v>13818.181640625</v>
      </c>
      <c r="AR67" s="34" t="n">
        <v>13318.181640625</v>
      </c>
      <c r="AS67" s="34" t="n">
        <v>13590.9091796875</v>
      </c>
      <c r="AT67" s="34" t="n">
        <v>13590.9091796875</v>
      </c>
      <c r="AU67" s="34" t="n">
        <v>14363.63671875</v>
      </c>
      <c r="AV67" s="34" t="n">
        <v>13181.818359375</v>
      </c>
      <c r="AW67" s="34" t="n">
        <v>12636.36328125</v>
      </c>
      <c r="AX67" s="34" t="n">
        <v>12500</v>
      </c>
      <c r="AY67" s="34" t="n">
        <v>12545.4541015625</v>
      </c>
      <c r="AZ67" s="34" t="n">
        <v>12363.63671875</v>
      </c>
      <c r="BA67" s="34" t="n">
        <v>12954.5458984375</v>
      </c>
      <c r="BB67" s="34" t="n">
        <v>13363.63671875</v>
      </c>
      <c r="BC67" s="34" t="n">
        <v>13136.36328125</v>
      </c>
      <c r="BD67" s="34" t="n">
        <v>13045.4541015625</v>
      </c>
      <c r="BE67" s="34" t="n">
        <v>12863.63671875</v>
      </c>
      <c r="BF67" s="34" t="n">
        <v>12545.4541015625</v>
      </c>
      <c r="BG67" s="34" t="n">
        <v>12636.36328125</v>
      </c>
      <c r="BH67" s="34" t="n">
        <v>12409.0908203125</v>
      </c>
      <c r="BI67" s="36">
        <f>MIN(E67:BH67)</f>
        <v/>
      </c>
      <c r="BJ67" s="36">
        <f>MAX(E67:BH67)</f>
        <v/>
      </c>
      <c r="BK67" s="36">
        <f>AVERAGE(E67:BH67)</f>
        <v/>
      </c>
    </row>
    <row r="68" ht="19" customHeight="1">
      <c r="A68" s="71" t="n">
        <v>67</v>
      </c>
      <c r="B68" s="32" t="inlineStr">
        <is>
          <t>LCG</t>
        </is>
      </c>
      <c r="C68" s="33" t="inlineStr">
        <is>
          <t>Thép, Vật Liệu &amp; Xây Dựng</t>
        </is>
      </c>
      <c r="D68" s="71" t="inlineStr">
        <is>
          <t>HOSE</t>
        </is>
      </c>
      <c r="E68" s="34" t="n">
        <v>8682.2431640625</v>
      </c>
      <c r="F68" s="34" t="n">
        <v>8897.1962890625</v>
      </c>
      <c r="G68" s="34" t="n">
        <v>8775.701171875</v>
      </c>
      <c r="H68" s="34" t="n">
        <v>8953.271484375</v>
      </c>
      <c r="I68" s="34" t="n">
        <v>9149.5322265625</v>
      </c>
      <c r="J68" s="34" t="n">
        <v>8887.8505859375</v>
      </c>
      <c r="K68" s="34" t="n">
        <v>8738.3173828125</v>
      </c>
      <c r="L68" s="34" t="n">
        <v>8831.775390625</v>
      </c>
      <c r="M68" s="34" t="n">
        <v>8850.4677734375</v>
      </c>
      <c r="N68" s="34" t="n">
        <v>9439.251953125</v>
      </c>
      <c r="O68" s="34" t="n">
        <v>9672.8974609375</v>
      </c>
      <c r="P68" s="34" t="n">
        <v>9766.35546875</v>
      </c>
      <c r="Q68" s="34" t="n">
        <v>9672.8974609375</v>
      </c>
      <c r="R68" s="34" t="n">
        <v>10514.0185546875</v>
      </c>
      <c r="S68" s="34" t="n">
        <v>11028.037109375</v>
      </c>
      <c r="T68" s="34" t="n">
        <v>12242.990234375</v>
      </c>
      <c r="U68" s="34" t="n">
        <v>11775.701171875</v>
      </c>
      <c r="V68" s="34" t="n">
        <v>12336.4482421875</v>
      </c>
      <c r="W68" s="34" t="n">
        <v>11261.6826171875</v>
      </c>
      <c r="X68" s="34" t="n">
        <v>11495.3271484375</v>
      </c>
      <c r="Y68" s="34" t="n">
        <v>12383.177734375</v>
      </c>
      <c r="Z68" s="34" t="n">
        <v>11214.953125</v>
      </c>
      <c r="AA68" s="34" t="n">
        <v>11542.0556640625</v>
      </c>
      <c r="AB68" s="34" t="n">
        <v>11495.3271484375</v>
      </c>
      <c r="AC68" s="34" t="n">
        <v>10794.392578125</v>
      </c>
      <c r="AD68" s="34" t="n">
        <v>10550</v>
      </c>
      <c r="AE68" s="34" t="n">
        <v>10050</v>
      </c>
      <c r="AF68" s="34" t="n">
        <v>10400</v>
      </c>
      <c r="AG68" s="34" t="n">
        <v>10150</v>
      </c>
      <c r="AH68" s="34" t="n">
        <v>10150</v>
      </c>
      <c r="AI68" s="34" t="n">
        <v>10400</v>
      </c>
      <c r="AJ68" s="34" t="n">
        <v>10200</v>
      </c>
      <c r="AK68" s="34" t="n">
        <v>10700</v>
      </c>
      <c r="AL68" s="34" t="n">
        <v>10250</v>
      </c>
      <c r="AM68" s="34" t="n">
        <v>10200</v>
      </c>
      <c r="AN68" s="34" t="n">
        <v>10050</v>
      </c>
      <c r="AO68" s="34" t="n">
        <v>10400</v>
      </c>
      <c r="AP68" s="34" t="n">
        <v>10400</v>
      </c>
      <c r="AQ68" s="34" t="n">
        <v>10200</v>
      </c>
      <c r="AR68" s="34" t="n">
        <v>10050</v>
      </c>
      <c r="AS68" s="34" t="n">
        <v>10150</v>
      </c>
      <c r="AT68" s="34" t="n">
        <v>10150</v>
      </c>
      <c r="AU68" s="34" t="n">
        <v>10350</v>
      </c>
      <c r="AV68" s="34" t="n">
        <v>9880</v>
      </c>
      <c r="AW68" s="34" t="n">
        <v>10100</v>
      </c>
      <c r="AX68" s="34" t="n">
        <v>9730</v>
      </c>
      <c r="AY68" s="34" t="n">
        <v>9800</v>
      </c>
      <c r="AZ68" s="34" t="n">
        <v>9550</v>
      </c>
      <c r="BA68" s="34" t="n">
        <v>10150</v>
      </c>
      <c r="BB68" s="34" t="n">
        <v>10000</v>
      </c>
      <c r="BC68" s="34" t="n">
        <v>10050</v>
      </c>
      <c r="BD68" s="34" t="n">
        <v>9950</v>
      </c>
      <c r="BE68" s="34" t="n">
        <v>9620</v>
      </c>
      <c r="BF68" s="34" t="n">
        <v>9400</v>
      </c>
      <c r="BG68" s="34" t="n">
        <v>9210</v>
      </c>
      <c r="BH68" s="34" t="n">
        <v>9130</v>
      </c>
      <c r="BI68" s="36">
        <f>MIN(E68:BH68)</f>
        <v/>
      </c>
      <c r="BJ68" s="36">
        <f>MAX(E68:BH68)</f>
        <v/>
      </c>
      <c r="BK68" s="36">
        <f>AVERAGE(E68:BH68)</f>
        <v/>
      </c>
    </row>
    <row r="69" ht="19" customHeight="1">
      <c r="A69" s="71" t="n">
        <v>68</v>
      </c>
      <c r="B69" s="32" t="inlineStr">
        <is>
          <t>SMC</t>
        </is>
      </c>
      <c r="C69" s="33" t="inlineStr">
        <is>
          <t>Thép, Vật Liệu &amp; Xây Dựng</t>
        </is>
      </c>
      <c r="D69" s="71" t="inlineStr">
        <is>
          <t>HOSE</t>
        </is>
      </c>
      <c r="E69" s="34" t="n">
        <v>9040</v>
      </c>
      <c r="F69" s="34" t="n">
        <v>10500</v>
      </c>
      <c r="G69" s="34" t="n">
        <v>11100</v>
      </c>
      <c r="H69" s="34" t="n">
        <v>11300</v>
      </c>
      <c r="I69" s="34" t="n">
        <v>10900</v>
      </c>
      <c r="J69" s="34" t="n">
        <v>11350</v>
      </c>
      <c r="K69" s="34" t="n">
        <v>10850</v>
      </c>
      <c r="L69" s="34" t="n">
        <v>10400</v>
      </c>
      <c r="M69" s="34" t="n">
        <v>10700</v>
      </c>
      <c r="N69" s="34" t="n">
        <v>10850</v>
      </c>
      <c r="O69" s="34" t="n">
        <v>13150</v>
      </c>
      <c r="P69" s="34" t="n">
        <v>12850</v>
      </c>
      <c r="Q69" s="34" t="n">
        <v>13200</v>
      </c>
      <c r="R69" s="34" t="n">
        <v>13400</v>
      </c>
      <c r="S69" s="34" t="n">
        <v>12700</v>
      </c>
      <c r="T69" s="34" t="n">
        <v>12100</v>
      </c>
      <c r="U69" s="34" t="n">
        <v>12500</v>
      </c>
      <c r="V69" s="34" t="n">
        <v>12950</v>
      </c>
      <c r="W69" s="34" t="n">
        <v>12700</v>
      </c>
      <c r="X69" s="34" t="n">
        <v>15150</v>
      </c>
      <c r="Y69" s="34" t="n">
        <v>16800</v>
      </c>
      <c r="Z69" s="34" t="n">
        <v>13800</v>
      </c>
      <c r="AA69" s="34" t="n">
        <v>12850</v>
      </c>
      <c r="AB69" s="34" t="n">
        <v>11900</v>
      </c>
      <c r="AC69" s="34" t="n">
        <v>10600</v>
      </c>
      <c r="AD69" s="34" t="n">
        <v>12000</v>
      </c>
      <c r="AE69" s="34" t="n">
        <v>13000</v>
      </c>
      <c r="AF69" s="34" t="n">
        <v>13250</v>
      </c>
      <c r="AG69" s="34" t="n">
        <v>13650</v>
      </c>
      <c r="AH69" s="34" t="n">
        <v>12550</v>
      </c>
      <c r="AI69" s="34" t="n">
        <v>13950</v>
      </c>
      <c r="AJ69" s="34" t="n">
        <v>12950</v>
      </c>
      <c r="AK69" s="34" t="n">
        <v>13750</v>
      </c>
      <c r="AL69" s="34" t="n">
        <v>13450</v>
      </c>
      <c r="AM69" s="34" t="n">
        <v>13150</v>
      </c>
      <c r="AN69" s="34" t="n">
        <v>13400</v>
      </c>
      <c r="AO69" s="34" t="n">
        <v>13800</v>
      </c>
      <c r="AP69" s="34" t="n">
        <v>13650</v>
      </c>
      <c r="AQ69" s="34" t="n">
        <v>14450</v>
      </c>
      <c r="AR69" s="34" t="n">
        <v>12800</v>
      </c>
      <c r="AS69" s="34" t="n">
        <v>12350</v>
      </c>
      <c r="AT69" s="34" t="n">
        <v>12350</v>
      </c>
      <c r="AU69" s="34" t="n">
        <v>12150</v>
      </c>
      <c r="AV69" s="34" t="n">
        <v>11250</v>
      </c>
      <c r="AW69" s="34" t="n">
        <v>10900</v>
      </c>
      <c r="AX69" s="34" t="n">
        <v>10950</v>
      </c>
      <c r="AY69" s="34" t="n">
        <v>11200</v>
      </c>
      <c r="AZ69" s="34" t="n">
        <v>12600</v>
      </c>
      <c r="BA69" s="34" t="n">
        <v>13350</v>
      </c>
      <c r="BB69" s="34" t="n">
        <v>13250</v>
      </c>
      <c r="BC69" s="34" t="n">
        <v>13000</v>
      </c>
      <c r="BD69" s="34" t="n">
        <v>12700</v>
      </c>
      <c r="BE69" s="34" t="n">
        <v>12150</v>
      </c>
      <c r="BF69" s="34" t="n">
        <v>11700</v>
      </c>
      <c r="BG69" s="34" t="n">
        <v>11600</v>
      </c>
      <c r="BH69" s="34" t="n">
        <v>11150</v>
      </c>
      <c r="BI69" s="36">
        <f>MIN(E69:BH69)</f>
        <v/>
      </c>
      <c r="BJ69" s="36">
        <f>MAX(E69:BH69)</f>
        <v/>
      </c>
      <c r="BK69" s="36">
        <f>AVERAGE(E69:BH69)</f>
        <v/>
      </c>
    </row>
    <row r="70" ht="19" customHeight="1">
      <c r="A70" s="71" t="n">
        <v>69</v>
      </c>
      <c r="B70" s="32" t="inlineStr">
        <is>
          <t>HHV</t>
        </is>
      </c>
      <c r="C70" s="33" t="inlineStr">
        <is>
          <t>Thép, Vật Liệu &amp; Xây Dựng</t>
        </is>
      </c>
      <c r="D70" s="71" t="inlineStr">
        <is>
          <t>HOSE</t>
        </is>
      </c>
      <c r="E70" s="34" t="n">
        <v>10760.66796875</v>
      </c>
      <c r="F70" s="34" t="n">
        <v>10982.0810546875</v>
      </c>
      <c r="G70" s="34" t="n">
        <v>10849.2333984375</v>
      </c>
      <c r="H70" s="34" t="n">
        <v>10893.515625</v>
      </c>
      <c r="I70" s="34" t="n">
        <v>11247.7763671875</v>
      </c>
      <c r="J70" s="34" t="n">
        <v>10893.515625</v>
      </c>
      <c r="K70" s="34" t="n">
        <v>10804.9501953125</v>
      </c>
      <c r="L70" s="34" t="n">
        <v>10982.0810546875</v>
      </c>
      <c r="M70" s="34" t="n">
        <v>10982.0810546875</v>
      </c>
      <c r="N70" s="34" t="n">
        <v>11336.341796875</v>
      </c>
      <c r="O70" s="34" t="n">
        <v>12693.6025390625</v>
      </c>
      <c r="P70" s="34" t="n">
        <v>12042.6484375</v>
      </c>
      <c r="Q70" s="34" t="n">
        <v>11903.158203125</v>
      </c>
      <c r="R70" s="34" t="n">
        <v>12879.58984375</v>
      </c>
      <c r="S70" s="34" t="n">
        <v>13763.02734375</v>
      </c>
      <c r="T70" s="34" t="n">
        <v>13949.013671875</v>
      </c>
      <c r="U70" s="34" t="n">
        <v>13809.5234375</v>
      </c>
      <c r="V70" s="34" t="n">
        <v>14506.974609375</v>
      </c>
      <c r="W70" s="34" t="n">
        <v>13530.5439453125</v>
      </c>
      <c r="X70" s="34" t="n">
        <v>14088.50390625</v>
      </c>
      <c r="Y70" s="34" t="n">
        <v>15297.4189453125</v>
      </c>
      <c r="Z70" s="34" t="n">
        <v>14367.484375</v>
      </c>
      <c r="AA70" s="34" t="n">
        <v>14506.974609375</v>
      </c>
      <c r="AB70" s="34" t="n">
        <v>14739.4580078125</v>
      </c>
      <c r="AC70" s="34" t="n">
        <v>13623.537109375</v>
      </c>
      <c r="AD70" s="34" t="n">
        <v>13902.517578125</v>
      </c>
      <c r="AE70" s="34" t="n">
        <v>12926.0859375</v>
      </c>
      <c r="AF70" s="34" t="n">
        <v>12647.1064453125</v>
      </c>
      <c r="AG70" s="34" t="n">
        <v>13112.0732421875</v>
      </c>
      <c r="AH70" s="34" t="n">
        <v>13251.5634765625</v>
      </c>
      <c r="AI70" s="34" t="n">
        <v>13437.5498046875</v>
      </c>
      <c r="AJ70" s="34" t="n">
        <v>12740.099609375</v>
      </c>
      <c r="AK70" s="34" t="n">
        <v>12879.58984375</v>
      </c>
      <c r="AL70" s="34" t="n">
        <v>12428.5712890625</v>
      </c>
      <c r="AM70" s="34" t="n">
        <v>12523.8095703125</v>
      </c>
      <c r="AN70" s="34" t="n">
        <v>11809.5234375</v>
      </c>
      <c r="AO70" s="34" t="n">
        <v>12190.4765625</v>
      </c>
      <c r="AP70" s="34" t="n">
        <v>12095.23828125</v>
      </c>
      <c r="AQ70" s="34" t="n">
        <v>11619.0478515625</v>
      </c>
      <c r="AR70" s="34" t="n">
        <v>11476.1904296875</v>
      </c>
      <c r="AS70" s="34" t="n">
        <v>11571.4287109375</v>
      </c>
      <c r="AT70" s="34" t="n">
        <v>11571.4287109375</v>
      </c>
      <c r="AU70" s="34" t="n">
        <v>11904.76171875</v>
      </c>
      <c r="AV70" s="34" t="n">
        <v>11238.095703125</v>
      </c>
      <c r="AW70" s="34" t="n">
        <v>11904.76171875</v>
      </c>
      <c r="AX70" s="34" t="n">
        <v>11428.5712890625</v>
      </c>
      <c r="AY70" s="34" t="n">
        <v>11619.0478515625</v>
      </c>
      <c r="AZ70" s="34" t="n">
        <v>11285.7138671875</v>
      </c>
      <c r="BA70" s="34" t="n">
        <v>12142.857421875</v>
      </c>
      <c r="BB70" s="34" t="n">
        <v>12095.23828125</v>
      </c>
      <c r="BC70" s="34" t="n">
        <v>12095.23828125</v>
      </c>
      <c r="BD70" s="34" t="n">
        <v>11904.76171875</v>
      </c>
      <c r="BE70" s="34" t="n">
        <v>11761.904296875</v>
      </c>
      <c r="BF70" s="34" t="n">
        <v>11476.1904296875</v>
      </c>
      <c r="BG70" s="34" t="n">
        <v>11380.9521484375</v>
      </c>
      <c r="BH70" s="34" t="n">
        <v>11095.23828125</v>
      </c>
      <c r="BI70" s="36">
        <f>MIN(E70:BH70)</f>
        <v/>
      </c>
      <c r="BJ70" s="36">
        <f>MAX(E70:BH70)</f>
        <v/>
      </c>
      <c r="BK70" s="36">
        <f>AVERAGE(E70:BH70)</f>
        <v/>
      </c>
    </row>
    <row r="71" ht="19" customHeight="1">
      <c r="A71" s="71" t="n">
        <v>70</v>
      </c>
      <c r="B71" s="32" t="inlineStr">
        <is>
          <t>VCG</t>
        </is>
      </c>
      <c r="C71" s="33" t="inlineStr">
        <is>
          <t>Thép, Vật Liệu &amp; Xây Dựng</t>
        </is>
      </c>
      <c r="D71" s="71" t="inlineStr">
        <is>
          <t>HOSE</t>
        </is>
      </c>
      <c r="E71" s="34" t="n">
        <v>18518.517578125</v>
      </c>
      <c r="F71" s="34" t="n">
        <v>18904.3203125</v>
      </c>
      <c r="G71" s="34" t="n">
        <v>19675.92578125</v>
      </c>
      <c r="H71" s="34" t="n">
        <v>19075.7890625</v>
      </c>
      <c r="I71" s="34" t="n">
        <v>19075.7890625</v>
      </c>
      <c r="J71" s="34" t="n">
        <v>18564.814453125</v>
      </c>
      <c r="K71" s="34" t="n">
        <v>19212.962890625</v>
      </c>
      <c r="L71" s="34" t="n">
        <v>20138.888671875</v>
      </c>
      <c r="M71" s="34" t="n">
        <v>21296.296875</v>
      </c>
      <c r="N71" s="34" t="n">
        <v>21388.888671875</v>
      </c>
      <c r="O71" s="34" t="n">
        <v>21620.37109375</v>
      </c>
      <c r="P71" s="34" t="n">
        <v>22268.517578125</v>
      </c>
      <c r="Q71" s="34" t="n">
        <v>23981.482421875</v>
      </c>
      <c r="R71" s="34" t="n">
        <v>24444.4453125</v>
      </c>
      <c r="S71" s="34" t="n">
        <v>24814.814453125</v>
      </c>
      <c r="T71" s="34" t="n">
        <v>23888.888671875</v>
      </c>
      <c r="U71" s="34" t="n">
        <v>23657.408203125</v>
      </c>
      <c r="V71" s="34" t="n">
        <v>24444.4453125</v>
      </c>
      <c r="W71" s="34" t="n">
        <v>23842.591796875</v>
      </c>
      <c r="X71" s="34" t="n">
        <v>25277.77734375</v>
      </c>
      <c r="Y71" s="34" t="n">
        <v>25879.62890625</v>
      </c>
      <c r="Z71" s="34" t="n">
        <v>25370.37109375</v>
      </c>
      <c r="AA71" s="34" t="n">
        <v>25694.4453125</v>
      </c>
      <c r="AB71" s="34" t="n">
        <v>25648.1484375</v>
      </c>
      <c r="AC71" s="34" t="n">
        <v>23750</v>
      </c>
      <c r="AD71" s="34" t="n">
        <v>24398.1484375</v>
      </c>
      <c r="AE71" s="34" t="n">
        <v>21712.962890625</v>
      </c>
      <c r="AF71" s="34" t="n">
        <v>22314.814453125</v>
      </c>
      <c r="AG71" s="34" t="n">
        <v>22453.703125</v>
      </c>
      <c r="AH71" s="34" t="n">
        <v>21990.740234375</v>
      </c>
      <c r="AI71" s="34" t="n">
        <v>22777.77734375</v>
      </c>
      <c r="AJ71" s="34" t="n">
        <v>21388.888671875</v>
      </c>
      <c r="AK71" s="34" t="n">
        <v>22083.333984375</v>
      </c>
      <c r="AL71" s="34" t="n">
        <v>21203.703125</v>
      </c>
      <c r="AM71" s="34" t="n">
        <v>20925.92578125</v>
      </c>
      <c r="AN71" s="34" t="n">
        <v>19861.111328125</v>
      </c>
      <c r="AO71" s="34" t="n">
        <v>21574.07421875</v>
      </c>
      <c r="AP71" s="34" t="n">
        <v>21111.111328125</v>
      </c>
      <c r="AQ71" s="34" t="n">
        <v>17731.482421875</v>
      </c>
      <c r="AR71" s="34" t="n">
        <v>16851.8515625</v>
      </c>
      <c r="AS71" s="34" t="n">
        <v>17500</v>
      </c>
      <c r="AT71" s="34" t="n">
        <v>17500</v>
      </c>
      <c r="AU71" s="34" t="n">
        <v>17731.482421875</v>
      </c>
      <c r="AV71" s="34" t="n">
        <v>18564.814453125</v>
      </c>
      <c r="AW71" s="34" t="n">
        <v>21759.259765625</v>
      </c>
      <c r="AX71" s="34" t="n">
        <v>20648.1484375</v>
      </c>
      <c r="AY71" s="34" t="n">
        <v>20277.77734375</v>
      </c>
      <c r="AZ71" s="34" t="n">
        <v>19814.814453125</v>
      </c>
      <c r="BA71" s="34" t="n">
        <v>21157.408203125</v>
      </c>
      <c r="BB71" s="34" t="n">
        <v>20601.8515625</v>
      </c>
      <c r="BC71" s="34" t="n">
        <v>21203.703125</v>
      </c>
      <c r="BD71" s="34" t="n">
        <v>20509.259765625</v>
      </c>
      <c r="BE71" s="34" t="n">
        <v>20416.666015625</v>
      </c>
      <c r="BF71" s="34" t="n">
        <v>20000</v>
      </c>
      <c r="BG71" s="34" t="n">
        <v>19444.4453125</v>
      </c>
      <c r="BH71" s="34" t="n">
        <v>18564.814453125</v>
      </c>
      <c r="BI71" s="36">
        <f>MIN(E71:BH71)</f>
        <v/>
      </c>
      <c r="BJ71" s="36">
        <f>MAX(E71:BH71)</f>
        <v/>
      </c>
      <c r="BK71" s="36">
        <f>AVERAGE(E71:BH71)</f>
        <v/>
      </c>
    </row>
    <row r="72" ht="19" customHeight="1">
      <c r="A72" s="71" t="n">
        <v>71</v>
      </c>
      <c r="B72" s="32" t="inlineStr">
        <is>
          <t>PC1</t>
        </is>
      </c>
      <c r="C72" s="33" t="inlineStr">
        <is>
          <t>Thép, Vật Liệu &amp; Xây Dựng</t>
        </is>
      </c>
      <c r="D72" s="71" t="inlineStr">
        <is>
          <t>HOSE</t>
        </is>
      </c>
      <c r="E72" s="34" t="n">
        <v>19521.73828125</v>
      </c>
      <c r="F72" s="34" t="n">
        <v>19347.826171875</v>
      </c>
      <c r="G72" s="34" t="n">
        <v>19173.912109375</v>
      </c>
      <c r="H72" s="34" t="n">
        <v>19652.173828125</v>
      </c>
      <c r="I72" s="34" t="n">
        <v>20304.34765625</v>
      </c>
      <c r="J72" s="34" t="n">
        <v>19652.173828125</v>
      </c>
      <c r="K72" s="34" t="n">
        <v>19260.869140625</v>
      </c>
      <c r="L72" s="34" t="n">
        <v>19000</v>
      </c>
      <c r="M72" s="34" t="n">
        <v>18913.04296875</v>
      </c>
      <c r="N72" s="34" t="n">
        <v>19608.6953125</v>
      </c>
      <c r="O72" s="34" t="n">
        <v>19956.521484375</v>
      </c>
      <c r="P72" s="34" t="n">
        <v>21652.173828125</v>
      </c>
      <c r="Q72" s="34" t="n">
        <v>22521.73828125</v>
      </c>
      <c r="R72" s="34" t="n">
        <v>22739.130859375</v>
      </c>
      <c r="S72" s="34" t="n">
        <v>23956.521484375</v>
      </c>
      <c r="T72" s="34" t="n">
        <v>26043.478515625</v>
      </c>
      <c r="U72" s="34" t="n">
        <v>23434.783203125</v>
      </c>
      <c r="V72" s="34" t="n">
        <v>24086.95703125</v>
      </c>
      <c r="W72" s="34" t="n">
        <v>22869.564453125</v>
      </c>
      <c r="X72" s="34" t="n">
        <v>22869.564453125</v>
      </c>
      <c r="Y72" s="34" t="n">
        <v>23130.435546875</v>
      </c>
      <c r="Z72" s="34" t="n">
        <v>21565.216796875</v>
      </c>
      <c r="AA72" s="34" t="n">
        <v>21304.34765625</v>
      </c>
      <c r="AB72" s="34" t="n">
        <v>20304.34765625</v>
      </c>
      <c r="AC72" s="34" t="n">
        <v>19173.912109375</v>
      </c>
      <c r="AD72" s="34" t="n">
        <v>20521.73828125</v>
      </c>
      <c r="AE72" s="34" t="n">
        <v>21086.95703125</v>
      </c>
      <c r="AF72" s="34" t="n">
        <v>22050</v>
      </c>
      <c r="AG72" s="34" t="n">
        <v>22100</v>
      </c>
      <c r="AH72" s="34" t="n">
        <v>21700</v>
      </c>
      <c r="AI72" s="34" t="n">
        <v>23100</v>
      </c>
      <c r="AJ72" s="34" t="n">
        <v>20600</v>
      </c>
      <c r="AK72" s="34" t="n">
        <v>21550</v>
      </c>
      <c r="AL72" s="34" t="n">
        <v>21750</v>
      </c>
      <c r="AM72" s="34" t="n">
        <v>22550</v>
      </c>
      <c r="AN72" s="34" t="n">
        <v>23750</v>
      </c>
      <c r="AO72" s="34" t="n">
        <v>24600</v>
      </c>
      <c r="AP72" s="34" t="n">
        <v>23350</v>
      </c>
      <c r="AQ72" s="34" t="n">
        <v>24200</v>
      </c>
      <c r="AR72" s="34" t="n">
        <v>24700</v>
      </c>
      <c r="AS72" s="34" t="n">
        <v>26250</v>
      </c>
      <c r="AT72" s="34" t="n">
        <v>26250</v>
      </c>
      <c r="AU72" s="34" t="n">
        <v>30150</v>
      </c>
      <c r="AV72" s="34" t="n">
        <v>28150</v>
      </c>
      <c r="AW72" s="34" t="n">
        <v>26800</v>
      </c>
      <c r="AX72" s="34" t="n">
        <v>26650</v>
      </c>
      <c r="AY72" s="34" t="n">
        <v>29100</v>
      </c>
      <c r="AZ72" s="34" t="n">
        <v>26700</v>
      </c>
      <c r="BA72" s="34" t="n">
        <v>27350</v>
      </c>
      <c r="BB72" s="34" t="n">
        <v>26650</v>
      </c>
      <c r="BC72" s="34" t="n">
        <v>22450</v>
      </c>
      <c r="BD72" s="34" t="n">
        <v>19550</v>
      </c>
      <c r="BE72" s="34" t="n">
        <v>18100</v>
      </c>
      <c r="BF72" s="34" t="n">
        <v>17850</v>
      </c>
      <c r="BG72" s="34" t="n">
        <v>20600</v>
      </c>
      <c r="BH72" s="34" t="n">
        <v>19350</v>
      </c>
      <c r="BI72" s="36">
        <f>MIN(E72:BH72)</f>
        <v/>
      </c>
      <c r="BJ72" s="36">
        <f>MAX(E72:BH72)</f>
        <v/>
      </c>
      <c r="BK72" s="36">
        <f>AVERAGE(E72:BH72)</f>
        <v/>
      </c>
    </row>
    <row r="73" ht="19" customHeight="1">
      <c r="A73" s="71" t="n">
        <v>72</v>
      </c>
      <c r="B73" s="32" t="inlineStr">
        <is>
          <t>FCN</t>
        </is>
      </c>
      <c r="C73" s="33" t="inlineStr">
        <is>
          <t>Thép, Vật Liệu &amp; Xây Dựng</t>
        </is>
      </c>
      <c r="D73" s="71" t="inlineStr">
        <is>
          <t>HOSE</t>
        </is>
      </c>
      <c r="E73" s="34" t="n">
        <v>14500</v>
      </c>
      <c r="F73" s="34" t="n">
        <v>14750</v>
      </c>
      <c r="G73" s="34" t="n">
        <v>14300</v>
      </c>
      <c r="H73" s="34" t="n">
        <v>14200</v>
      </c>
      <c r="I73" s="34" t="n">
        <v>14300</v>
      </c>
      <c r="J73" s="34" t="n">
        <v>13450</v>
      </c>
      <c r="K73" s="34" t="n">
        <v>13800</v>
      </c>
      <c r="L73" s="34" t="n">
        <v>13800</v>
      </c>
      <c r="M73" s="34" t="n">
        <v>13650</v>
      </c>
      <c r="N73" s="34" t="n">
        <v>14400</v>
      </c>
      <c r="O73" s="34" t="n">
        <v>15400</v>
      </c>
      <c r="P73" s="34" t="n">
        <v>15000</v>
      </c>
      <c r="Q73" s="34" t="n">
        <v>14950</v>
      </c>
      <c r="R73" s="34" t="n">
        <v>17800</v>
      </c>
      <c r="S73" s="34" t="n">
        <v>18200</v>
      </c>
      <c r="T73" s="34" t="n">
        <v>17500</v>
      </c>
      <c r="U73" s="34" t="n">
        <v>18050</v>
      </c>
      <c r="V73" s="34" t="n">
        <v>18250</v>
      </c>
      <c r="W73" s="34" t="n">
        <v>17250</v>
      </c>
      <c r="X73" s="34" t="n">
        <v>17800</v>
      </c>
      <c r="Y73" s="34" t="n">
        <v>19200</v>
      </c>
      <c r="Z73" s="34" t="n">
        <v>17200</v>
      </c>
      <c r="AA73" s="34" t="n">
        <v>17200</v>
      </c>
      <c r="AB73" s="34" t="n">
        <v>17400</v>
      </c>
      <c r="AC73" s="34" t="n">
        <v>15850</v>
      </c>
      <c r="AD73" s="34" t="n">
        <v>15650</v>
      </c>
      <c r="AE73" s="34" t="n">
        <v>14750</v>
      </c>
      <c r="AF73" s="34" t="n">
        <v>15150</v>
      </c>
      <c r="AG73" s="34" t="n">
        <v>15150</v>
      </c>
      <c r="AH73" s="34" t="n">
        <v>14750</v>
      </c>
      <c r="AI73" s="34" t="n">
        <v>15350</v>
      </c>
      <c r="AJ73" s="34" t="n">
        <v>15600</v>
      </c>
      <c r="AK73" s="34" t="n">
        <v>16300</v>
      </c>
      <c r="AL73" s="34" t="n">
        <v>14800</v>
      </c>
      <c r="AM73" s="34" t="n">
        <v>14600</v>
      </c>
      <c r="AN73" s="34" t="n">
        <v>13850</v>
      </c>
      <c r="AO73" s="34" t="n">
        <v>14500</v>
      </c>
      <c r="AP73" s="34" t="n">
        <v>14450</v>
      </c>
      <c r="AQ73" s="34" t="n">
        <v>13850</v>
      </c>
      <c r="AR73" s="34" t="n">
        <v>13700</v>
      </c>
      <c r="AS73" s="34" t="n">
        <v>13600</v>
      </c>
      <c r="AT73" s="34" t="n">
        <v>13600</v>
      </c>
      <c r="AU73" s="34" t="n">
        <v>13600</v>
      </c>
      <c r="AV73" s="34" t="n">
        <v>12000</v>
      </c>
      <c r="AW73" s="34" t="n">
        <v>12750</v>
      </c>
      <c r="AX73" s="34" t="n">
        <v>12250</v>
      </c>
      <c r="AY73" s="34" t="n">
        <v>12950</v>
      </c>
      <c r="AZ73" s="34" t="n">
        <v>12900</v>
      </c>
      <c r="BA73" s="34" t="n">
        <v>13850</v>
      </c>
      <c r="BB73" s="34" t="n">
        <v>13850</v>
      </c>
      <c r="BC73" s="34" t="n">
        <v>13300</v>
      </c>
      <c r="BD73" s="34" t="n">
        <v>13150</v>
      </c>
      <c r="BE73" s="34" t="n">
        <v>13300</v>
      </c>
      <c r="BF73" s="34" t="n">
        <v>13000</v>
      </c>
      <c r="BG73" s="34" t="n">
        <v>12850</v>
      </c>
      <c r="BH73" s="34" t="n">
        <v>12800</v>
      </c>
      <c r="BI73" s="36">
        <f>MIN(E73:BH73)</f>
        <v/>
      </c>
      <c r="BJ73" s="36">
        <f>MAX(E73:BH73)</f>
        <v/>
      </c>
      <c r="BK73" s="36">
        <f>AVERAGE(E73:BH73)</f>
        <v/>
      </c>
    </row>
    <row r="74" ht="19" customHeight="1">
      <c r="A74" s="71" t="n">
        <v>73</v>
      </c>
      <c r="B74" s="32" t="inlineStr">
        <is>
          <t>KSB</t>
        </is>
      </c>
      <c r="C74" s="33" t="inlineStr">
        <is>
          <t>Thép, Vật Liệu &amp; Xây Dựng</t>
        </is>
      </c>
      <c r="D74" s="71" t="inlineStr">
        <is>
          <t>HOSE</t>
        </is>
      </c>
      <c r="E74" s="34" t="n">
        <v>15900</v>
      </c>
      <c r="F74" s="34" t="n">
        <v>16400</v>
      </c>
      <c r="G74" s="34" t="n">
        <v>16050</v>
      </c>
      <c r="H74" s="34" t="n">
        <v>17000</v>
      </c>
      <c r="I74" s="34" t="n">
        <v>17150</v>
      </c>
      <c r="J74" s="34" t="n">
        <v>17100</v>
      </c>
      <c r="K74" s="34" t="n">
        <v>16800</v>
      </c>
      <c r="L74" s="34" t="n">
        <v>16800</v>
      </c>
      <c r="M74" s="34" t="n">
        <v>16950</v>
      </c>
      <c r="N74" s="34" t="n">
        <v>17350</v>
      </c>
      <c r="O74" s="34" t="n">
        <v>17950</v>
      </c>
      <c r="P74" s="34" t="n">
        <v>18050</v>
      </c>
      <c r="Q74" s="34" t="n">
        <v>18000</v>
      </c>
      <c r="R74" s="34" t="n">
        <v>19650</v>
      </c>
      <c r="S74" s="34" t="n">
        <v>20250</v>
      </c>
      <c r="T74" s="34" t="n">
        <v>18700</v>
      </c>
      <c r="U74" s="34" t="n">
        <v>18750</v>
      </c>
      <c r="V74" s="34" t="n">
        <v>19850</v>
      </c>
      <c r="W74" s="34" t="n">
        <v>19450</v>
      </c>
      <c r="X74" s="34" t="n">
        <v>21450</v>
      </c>
      <c r="Y74" s="34" t="n">
        <v>21250</v>
      </c>
      <c r="Z74" s="34" t="n">
        <v>19300</v>
      </c>
      <c r="AA74" s="34" t="n">
        <v>19600</v>
      </c>
      <c r="AB74" s="34" t="n">
        <v>19600</v>
      </c>
      <c r="AC74" s="34" t="n">
        <v>18000</v>
      </c>
      <c r="AD74" s="34" t="n">
        <v>18550</v>
      </c>
      <c r="AE74" s="34" t="n">
        <v>18400</v>
      </c>
      <c r="AF74" s="34" t="n">
        <v>18700</v>
      </c>
      <c r="AG74" s="34" t="n">
        <v>18500</v>
      </c>
      <c r="AH74" s="34" t="n">
        <v>18050</v>
      </c>
      <c r="AI74" s="34" t="n">
        <v>18450</v>
      </c>
      <c r="AJ74" s="34" t="n">
        <v>18000</v>
      </c>
      <c r="AK74" s="34" t="n">
        <v>18600</v>
      </c>
      <c r="AL74" s="34" t="n">
        <v>17600</v>
      </c>
      <c r="AM74" s="34" t="n">
        <v>17100</v>
      </c>
      <c r="AN74" s="34" t="n">
        <v>16050</v>
      </c>
      <c r="AO74" s="34" t="n">
        <v>17200</v>
      </c>
      <c r="AP74" s="34" t="n">
        <v>17200</v>
      </c>
      <c r="AQ74" s="34" t="n">
        <v>17750</v>
      </c>
      <c r="AR74" s="34" t="n">
        <v>17000</v>
      </c>
      <c r="AS74" s="34" t="n">
        <v>17350</v>
      </c>
      <c r="AT74" s="34" t="n">
        <v>17350</v>
      </c>
      <c r="AU74" s="34" t="n">
        <v>17700</v>
      </c>
      <c r="AV74" s="34" t="n">
        <v>16950</v>
      </c>
      <c r="AW74" s="34" t="n">
        <v>17150</v>
      </c>
      <c r="AX74" s="34" t="n">
        <v>15700</v>
      </c>
      <c r="AY74" s="34" t="n">
        <v>16450</v>
      </c>
      <c r="AZ74" s="34" t="n">
        <v>16100</v>
      </c>
      <c r="BA74" s="34" t="n">
        <v>16350</v>
      </c>
      <c r="BB74" s="34" t="n">
        <v>16250</v>
      </c>
      <c r="BC74" s="34" t="n">
        <v>16000</v>
      </c>
      <c r="BD74" s="34" t="n">
        <v>16100</v>
      </c>
      <c r="BE74" s="34" t="n">
        <v>15800</v>
      </c>
      <c r="BF74" s="34" t="n">
        <v>15550</v>
      </c>
      <c r="BG74" s="34" t="n">
        <v>15450</v>
      </c>
      <c r="BH74" s="34" t="n">
        <v>15000</v>
      </c>
      <c r="BI74" s="36">
        <f>MIN(E74:BH74)</f>
        <v/>
      </c>
      <c r="BJ74" s="36">
        <f>MAX(E74:BH74)</f>
        <v/>
      </c>
      <c r="BK74" s="36">
        <f>AVERAGE(E74:BH74)</f>
        <v/>
      </c>
    </row>
    <row r="75" ht="19" customHeight="1">
      <c r="A75" s="72" t="n">
        <v>74</v>
      </c>
      <c r="B75" s="38" t="inlineStr">
        <is>
          <t>PHR</t>
        </is>
      </c>
      <c r="C75" s="39" t="inlineStr">
        <is>
          <t>Hóa Chất, Phân Bón &amp; Cao Su</t>
        </is>
      </c>
      <c r="D75" s="72" t="inlineStr">
        <is>
          <t>HOSE</t>
        </is>
      </c>
      <c r="E75" s="40" t="n">
        <v>26055.5546875</v>
      </c>
      <c r="F75" s="40" t="n">
        <v>26111.111328125</v>
      </c>
      <c r="G75" s="40" t="n">
        <v>25305.5546875</v>
      </c>
      <c r="H75" s="40" t="n">
        <v>29111.111328125</v>
      </c>
      <c r="I75" s="40" t="n">
        <v>28111.111328125</v>
      </c>
      <c r="J75" s="40" t="n">
        <v>29277.77734375</v>
      </c>
      <c r="K75" s="40" t="n">
        <v>30722.22265625</v>
      </c>
      <c r="L75" s="40" t="n">
        <v>33611.109375</v>
      </c>
      <c r="M75" s="40" t="n">
        <v>33333.33203125</v>
      </c>
      <c r="N75" s="40" t="n">
        <v>34166.66796875</v>
      </c>
      <c r="O75" s="40" t="n">
        <v>33333.33203125</v>
      </c>
      <c r="P75" s="40" t="n">
        <v>36055.5546875</v>
      </c>
      <c r="Q75" s="40" t="n">
        <v>35555.5546875</v>
      </c>
      <c r="R75" s="40" t="n">
        <v>34444.4453125</v>
      </c>
      <c r="S75" s="40" t="n">
        <v>34444.4453125</v>
      </c>
      <c r="T75" s="40" t="n">
        <v>32444.4453125</v>
      </c>
      <c r="U75" s="40" t="n">
        <v>31111.111328125</v>
      </c>
      <c r="V75" s="40" t="n">
        <v>31388.888671875</v>
      </c>
      <c r="W75" s="40" t="n">
        <v>31666.666015625</v>
      </c>
      <c r="X75" s="40" t="n">
        <v>31611.111328125</v>
      </c>
      <c r="Y75" s="40" t="n">
        <v>31444.4453125</v>
      </c>
      <c r="Z75" s="40" t="n">
        <v>31111.111328125</v>
      </c>
      <c r="AA75" s="40" t="n">
        <v>30722.22265625</v>
      </c>
      <c r="AB75" s="40" t="n">
        <v>29611.111328125</v>
      </c>
      <c r="AC75" s="40" t="n">
        <v>28333.333984375</v>
      </c>
      <c r="AD75" s="40" t="n">
        <v>31388.888671875</v>
      </c>
      <c r="AE75" s="40" t="n">
        <v>30055.5546875</v>
      </c>
      <c r="AF75" s="40" t="n">
        <v>31722.22265625</v>
      </c>
      <c r="AG75" s="40" t="n">
        <v>31166.666015625</v>
      </c>
      <c r="AH75" s="40" t="n">
        <v>30888.888671875</v>
      </c>
      <c r="AI75" s="40" t="n">
        <v>32222.22265625</v>
      </c>
      <c r="AJ75" s="40" t="n">
        <v>30277.77734375</v>
      </c>
      <c r="AK75" s="40" t="n">
        <v>32111.111328125</v>
      </c>
      <c r="AL75" s="40" t="n">
        <v>31055.5546875</v>
      </c>
      <c r="AM75" s="40" t="n">
        <v>32500</v>
      </c>
      <c r="AN75" s="40" t="n">
        <v>34666.66796875</v>
      </c>
      <c r="AO75" s="40" t="n">
        <v>36666.66796875</v>
      </c>
      <c r="AP75" s="40" t="n">
        <v>34555.5546875</v>
      </c>
      <c r="AQ75" s="40" t="n">
        <v>35722.22265625</v>
      </c>
      <c r="AR75" s="40" t="n">
        <v>32666.666015625</v>
      </c>
      <c r="AS75" s="40" t="n">
        <v>33555.5546875</v>
      </c>
      <c r="AT75" s="40" t="n">
        <v>33555.5546875</v>
      </c>
      <c r="AU75" s="40" t="n">
        <v>35055.5546875</v>
      </c>
      <c r="AV75" s="40" t="n">
        <v>34000</v>
      </c>
      <c r="AW75" s="40" t="n">
        <v>34111.109375</v>
      </c>
      <c r="AX75" s="40" t="n">
        <v>32500</v>
      </c>
      <c r="AY75" s="40" t="n">
        <v>34333.33203125</v>
      </c>
      <c r="AZ75" s="40" t="n">
        <v>34888.890625</v>
      </c>
      <c r="BA75" s="40" t="n">
        <v>34833.33203125</v>
      </c>
      <c r="BB75" s="40" t="n">
        <v>34388.890625</v>
      </c>
      <c r="BC75" s="40" t="n">
        <v>33722.22265625</v>
      </c>
      <c r="BD75" s="40" t="n">
        <v>34111.109375</v>
      </c>
      <c r="BE75" s="40" t="n">
        <v>35500</v>
      </c>
      <c r="BF75" s="40" t="n">
        <v>39611.109375</v>
      </c>
      <c r="BG75" s="40" t="n">
        <v>37222.22265625</v>
      </c>
      <c r="BH75" s="40" t="n">
        <v>37388.890625</v>
      </c>
      <c r="BI75" s="42">
        <f>MIN(E75:BH75)</f>
        <v/>
      </c>
      <c r="BJ75" s="42">
        <f>MAX(E75:BH75)</f>
        <v/>
      </c>
      <c r="BK75" s="42">
        <f>AVERAGE(E75:BH75)</f>
        <v/>
      </c>
    </row>
    <row r="76" ht="19" customHeight="1">
      <c r="A76" s="72" t="n">
        <v>75</v>
      </c>
      <c r="B76" s="38" t="inlineStr">
        <is>
          <t>BFC</t>
        </is>
      </c>
      <c r="C76" s="39" t="inlineStr">
        <is>
          <t>Hóa Chất, Phân Bón &amp; Cao Su</t>
        </is>
      </c>
      <c r="D76" s="72" t="inlineStr">
        <is>
          <t>HOSE</t>
        </is>
      </c>
      <c r="E76" s="40" t="n">
        <v>45000</v>
      </c>
      <c r="F76" s="40" t="n">
        <v>44500</v>
      </c>
      <c r="G76" s="40" t="n">
        <v>46600</v>
      </c>
      <c r="H76" s="40" t="n">
        <v>47600</v>
      </c>
      <c r="I76" s="40" t="n">
        <v>47050</v>
      </c>
      <c r="J76" s="40" t="n">
        <v>43350</v>
      </c>
      <c r="K76" s="40" t="n">
        <v>47700</v>
      </c>
      <c r="L76" s="40" t="n">
        <v>45600</v>
      </c>
      <c r="M76" s="40" t="n">
        <v>46600</v>
      </c>
      <c r="N76" s="40" t="n">
        <v>46700</v>
      </c>
      <c r="O76" s="40" t="n">
        <v>45150</v>
      </c>
      <c r="P76" s="40" t="n">
        <v>47400</v>
      </c>
      <c r="Q76" s="40" t="n">
        <v>42800</v>
      </c>
      <c r="R76" s="40" t="n">
        <v>44400</v>
      </c>
      <c r="S76" s="40" t="n">
        <v>46000</v>
      </c>
      <c r="T76" s="40" t="n">
        <v>50800</v>
      </c>
      <c r="U76" s="40" t="n">
        <v>44000</v>
      </c>
      <c r="V76" s="40" t="n">
        <v>43850</v>
      </c>
      <c r="W76" s="40" t="n">
        <v>42350</v>
      </c>
      <c r="X76" s="40" t="n">
        <v>43900</v>
      </c>
      <c r="Y76" s="40" t="n">
        <v>42700</v>
      </c>
      <c r="Z76" s="40" t="n">
        <v>41300</v>
      </c>
      <c r="AA76" s="40" t="n">
        <v>43200</v>
      </c>
      <c r="AB76" s="40" t="n">
        <v>42000</v>
      </c>
      <c r="AC76" s="40" t="n">
        <v>43100</v>
      </c>
      <c r="AD76" s="40" t="n">
        <v>45750</v>
      </c>
      <c r="AE76" s="40" t="n">
        <v>44000</v>
      </c>
      <c r="AF76" s="40" t="n">
        <v>46000</v>
      </c>
      <c r="AG76" s="40" t="n">
        <v>44200</v>
      </c>
      <c r="AH76" s="40" t="n">
        <v>43200</v>
      </c>
      <c r="AI76" s="40" t="n">
        <v>43450</v>
      </c>
      <c r="AJ76" s="40" t="n">
        <v>42600</v>
      </c>
      <c r="AK76" s="40" t="n">
        <v>42750</v>
      </c>
      <c r="AL76" s="40" t="n">
        <v>42450</v>
      </c>
      <c r="AM76" s="40" t="n">
        <v>42700</v>
      </c>
      <c r="AN76" s="40" t="n">
        <v>45800</v>
      </c>
      <c r="AO76" s="40" t="n">
        <v>49100</v>
      </c>
      <c r="AP76" s="40" t="n">
        <v>46800</v>
      </c>
      <c r="AQ76" s="40" t="n">
        <v>47700</v>
      </c>
      <c r="AR76" s="40" t="n">
        <v>54200</v>
      </c>
      <c r="AS76" s="40" t="n">
        <v>60500</v>
      </c>
      <c r="AT76" s="40" t="n">
        <v>60500</v>
      </c>
      <c r="AU76" s="40" t="n">
        <v>73600</v>
      </c>
      <c r="AV76" s="40" t="n">
        <v>69900</v>
      </c>
      <c r="AW76" s="40" t="n">
        <v>67100</v>
      </c>
      <c r="AX76" s="40" t="n">
        <v>55400</v>
      </c>
      <c r="AY76" s="40" t="n">
        <v>56500</v>
      </c>
      <c r="AZ76" s="40" t="n">
        <v>55400</v>
      </c>
      <c r="BA76" s="40" t="n">
        <v>57900</v>
      </c>
      <c r="BB76" s="40" t="n">
        <v>66600</v>
      </c>
      <c r="BC76" s="40" t="n">
        <v>62100</v>
      </c>
      <c r="BD76" s="40" t="n">
        <v>67600</v>
      </c>
      <c r="BE76" s="40" t="n">
        <v>65200</v>
      </c>
      <c r="BF76" s="40" t="n">
        <v>62700</v>
      </c>
      <c r="BG76" s="40" t="n">
        <v>58900</v>
      </c>
      <c r="BH76" s="40" t="n">
        <v>55400</v>
      </c>
      <c r="BI76" s="42">
        <f>MIN(E76:BH76)</f>
        <v/>
      </c>
      <c r="BJ76" s="42">
        <f>MAX(E76:BH76)</f>
        <v/>
      </c>
      <c r="BK76" s="42">
        <f>AVERAGE(E76:BH76)</f>
        <v/>
      </c>
    </row>
    <row r="77" ht="19" customHeight="1">
      <c r="A77" s="72" t="n">
        <v>76</v>
      </c>
      <c r="B77" s="38" t="inlineStr">
        <is>
          <t>DCM</t>
        </is>
      </c>
      <c r="C77" s="39" t="inlineStr">
        <is>
          <t>Hóa Chất, Phân Bón &amp; Cao Su</t>
        </is>
      </c>
      <c r="D77" s="72" t="inlineStr">
        <is>
          <t>HOSE</t>
        </is>
      </c>
      <c r="E77" s="40" t="n">
        <v>34000</v>
      </c>
      <c r="F77" s="40" t="n">
        <v>33800</v>
      </c>
      <c r="G77" s="40" t="n">
        <v>33600</v>
      </c>
      <c r="H77" s="40" t="n">
        <v>33600</v>
      </c>
      <c r="I77" s="40" t="n">
        <v>34650</v>
      </c>
      <c r="J77" s="40" t="n">
        <v>34200</v>
      </c>
      <c r="K77" s="40" t="n">
        <v>36600</v>
      </c>
      <c r="L77" s="40" t="n">
        <v>36050</v>
      </c>
      <c r="M77" s="40" t="n">
        <v>33550</v>
      </c>
      <c r="N77" s="40" t="n">
        <v>34200</v>
      </c>
      <c r="O77" s="40" t="n">
        <v>34050</v>
      </c>
      <c r="P77" s="40" t="n">
        <v>35200</v>
      </c>
      <c r="Q77" s="40" t="n">
        <v>35850</v>
      </c>
      <c r="R77" s="40" t="n">
        <v>39900</v>
      </c>
      <c r="S77" s="40" t="n">
        <v>40450</v>
      </c>
      <c r="T77" s="40" t="n">
        <v>40400</v>
      </c>
      <c r="U77" s="40" t="n">
        <v>39050</v>
      </c>
      <c r="V77" s="40" t="n">
        <v>39400</v>
      </c>
      <c r="W77" s="40" t="n">
        <v>38550</v>
      </c>
      <c r="X77" s="40" t="n">
        <v>38200</v>
      </c>
      <c r="Y77" s="40" t="n">
        <v>37700</v>
      </c>
      <c r="Z77" s="40" t="n">
        <v>35700</v>
      </c>
      <c r="AA77" s="40" t="n">
        <v>36700</v>
      </c>
      <c r="AB77" s="40" t="n">
        <v>34600</v>
      </c>
      <c r="AC77" s="40" t="n">
        <v>34200</v>
      </c>
      <c r="AD77" s="40" t="n">
        <v>35300</v>
      </c>
      <c r="AE77" s="40" t="n">
        <v>34200</v>
      </c>
      <c r="AF77" s="40" t="n">
        <v>34400</v>
      </c>
      <c r="AG77" s="40" t="n">
        <v>34050</v>
      </c>
      <c r="AH77" s="40" t="n">
        <v>33900</v>
      </c>
      <c r="AI77" s="40" t="n">
        <v>34200</v>
      </c>
      <c r="AJ77" s="40" t="n">
        <v>32200</v>
      </c>
      <c r="AK77" s="40" t="n">
        <v>31900</v>
      </c>
      <c r="AL77" s="40" t="n">
        <v>31800</v>
      </c>
      <c r="AM77" s="40" t="n">
        <v>32700</v>
      </c>
      <c r="AN77" s="40" t="n">
        <v>34650</v>
      </c>
      <c r="AO77" s="40" t="n">
        <v>35200</v>
      </c>
      <c r="AP77" s="40" t="n">
        <v>36050</v>
      </c>
      <c r="AQ77" s="40" t="n">
        <v>36600</v>
      </c>
      <c r="AR77" s="40" t="n">
        <v>38800</v>
      </c>
      <c r="AS77" s="40" t="n">
        <v>39200</v>
      </c>
      <c r="AT77" s="40" t="n">
        <v>39200</v>
      </c>
      <c r="AU77" s="40" t="n">
        <v>42950</v>
      </c>
      <c r="AV77" s="40" t="n">
        <v>49500</v>
      </c>
      <c r="AW77" s="40" t="n">
        <v>47900</v>
      </c>
      <c r="AX77" s="40" t="n">
        <v>43600</v>
      </c>
      <c r="AY77" s="40" t="n">
        <v>48500</v>
      </c>
      <c r="AZ77" s="40" t="n">
        <v>44350</v>
      </c>
      <c r="BA77" s="40" t="n">
        <v>46550</v>
      </c>
      <c r="BB77" s="40" t="n">
        <v>45400</v>
      </c>
      <c r="BC77" s="40" t="n">
        <v>41650</v>
      </c>
      <c r="BD77" s="40" t="n">
        <v>42700</v>
      </c>
      <c r="BE77" s="40" t="n">
        <v>40200</v>
      </c>
      <c r="BF77" s="40" t="n">
        <v>43750</v>
      </c>
      <c r="BG77" s="40" t="n">
        <v>41600</v>
      </c>
      <c r="BH77" s="40" t="n">
        <v>39800</v>
      </c>
      <c r="BI77" s="42">
        <f>MIN(E77:BH77)</f>
        <v/>
      </c>
      <c r="BJ77" s="42">
        <f>MAX(E77:BH77)</f>
        <v/>
      </c>
      <c r="BK77" s="42">
        <f>AVERAGE(E77:BH77)</f>
        <v/>
      </c>
    </row>
    <row r="78" ht="19" customHeight="1">
      <c r="A78" s="72" t="n">
        <v>77</v>
      </c>
      <c r="B78" s="38" t="inlineStr">
        <is>
          <t>DPM</t>
        </is>
      </c>
      <c r="C78" s="39" t="inlineStr">
        <is>
          <t>Hóa Chất, Phân Bón &amp; Cao Su</t>
        </is>
      </c>
      <c r="D78" s="72" t="inlineStr">
        <is>
          <t>HOSE</t>
        </is>
      </c>
      <c r="E78" s="40" t="n">
        <v>19683.724609375</v>
      </c>
      <c r="F78" s="40" t="n">
        <v>19712.501953125</v>
      </c>
      <c r="G78" s="40" t="n">
        <v>19223.287109375</v>
      </c>
      <c r="H78" s="40" t="n">
        <v>19395.951171875</v>
      </c>
      <c r="I78" s="40" t="n">
        <v>19453.505859375</v>
      </c>
      <c r="J78" s="40" t="n">
        <v>20201.71875</v>
      </c>
      <c r="K78" s="40" t="n">
        <v>22273.689453125</v>
      </c>
      <c r="L78" s="40" t="n">
        <v>21870.806640625</v>
      </c>
      <c r="M78" s="40" t="n">
        <v>22158.580078125</v>
      </c>
      <c r="N78" s="40" t="n">
        <v>22273.689453125</v>
      </c>
      <c r="O78" s="40" t="n">
        <v>22216.134765625</v>
      </c>
      <c r="P78" s="40" t="n">
        <v>23626.2265625</v>
      </c>
      <c r="Q78" s="40" t="n">
        <v>23597.44921875</v>
      </c>
      <c r="R78" s="40" t="n">
        <v>26550</v>
      </c>
      <c r="S78" s="40" t="n">
        <v>28250</v>
      </c>
      <c r="T78" s="40" t="n">
        <v>27300</v>
      </c>
      <c r="U78" s="40" t="n">
        <v>26650</v>
      </c>
      <c r="V78" s="40" t="n">
        <v>26950</v>
      </c>
      <c r="W78" s="40" t="n">
        <v>26250</v>
      </c>
      <c r="X78" s="40" t="n">
        <v>26550</v>
      </c>
      <c r="Y78" s="40" t="n">
        <v>26650</v>
      </c>
      <c r="Z78" s="40" t="n">
        <v>23850</v>
      </c>
      <c r="AA78" s="40" t="n">
        <v>24100</v>
      </c>
      <c r="AB78" s="40" t="n">
        <v>23850</v>
      </c>
      <c r="AC78" s="40" t="n">
        <v>23300</v>
      </c>
      <c r="AD78" s="40" t="n">
        <v>24000</v>
      </c>
      <c r="AE78" s="40" t="n">
        <v>23650</v>
      </c>
      <c r="AF78" s="40" t="n">
        <v>23850</v>
      </c>
      <c r="AG78" s="40" t="n">
        <v>23600</v>
      </c>
      <c r="AH78" s="40" t="n">
        <v>23100</v>
      </c>
      <c r="AI78" s="40" t="n">
        <v>23200</v>
      </c>
      <c r="AJ78" s="40" t="n">
        <v>22000</v>
      </c>
      <c r="AK78" s="40" t="n">
        <v>22500</v>
      </c>
      <c r="AL78" s="40" t="n">
        <v>22100</v>
      </c>
      <c r="AM78" s="40" t="n">
        <v>22250</v>
      </c>
      <c r="AN78" s="40" t="n">
        <v>23750</v>
      </c>
      <c r="AO78" s="40" t="n">
        <v>24100</v>
      </c>
      <c r="AP78" s="40" t="n">
        <v>24550</v>
      </c>
      <c r="AQ78" s="40" t="n">
        <v>23950</v>
      </c>
      <c r="AR78" s="40" t="n">
        <v>24700</v>
      </c>
      <c r="AS78" s="40" t="n">
        <v>25000</v>
      </c>
      <c r="AT78" s="40" t="n">
        <v>25000</v>
      </c>
      <c r="AU78" s="40" t="n">
        <v>27600</v>
      </c>
      <c r="AV78" s="40" t="n">
        <v>31150</v>
      </c>
      <c r="AW78" s="40" t="n">
        <v>33200</v>
      </c>
      <c r="AX78" s="40" t="n">
        <v>28850</v>
      </c>
      <c r="AY78" s="40" t="n">
        <v>30800</v>
      </c>
      <c r="AZ78" s="40" t="n">
        <v>28800</v>
      </c>
      <c r="BA78" s="40" t="n">
        <v>29100</v>
      </c>
      <c r="BB78" s="40" t="n">
        <v>28900</v>
      </c>
      <c r="BC78" s="40" t="n">
        <v>26450</v>
      </c>
      <c r="BD78" s="40" t="n">
        <v>26500</v>
      </c>
      <c r="BE78" s="40" t="n">
        <v>25850</v>
      </c>
      <c r="BF78" s="40" t="n">
        <v>27000</v>
      </c>
      <c r="BG78" s="40" t="n">
        <v>26450</v>
      </c>
      <c r="BH78" s="40" t="n">
        <v>25900</v>
      </c>
      <c r="BI78" s="42">
        <f>MIN(E78:BH78)</f>
        <v/>
      </c>
      <c r="BJ78" s="42">
        <f>MAX(E78:BH78)</f>
        <v/>
      </c>
      <c r="BK78" s="42">
        <f>AVERAGE(E78:BH78)</f>
        <v/>
      </c>
    </row>
    <row r="79" ht="19" customHeight="1">
      <c r="A79" s="72" t="n">
        <v>78</v>
      </c>
      <c r="B79" s="38" t="inlineStr">
        <is>
          <t>DPR</t>
        </is>
      </c>
      <c r="C79" s="39" t="inlineStr">
        <is>
          <t>Hóa Chất, Phân Bón &amp; Cao Su</t>
        </is>
      </c>
      <c r="D79" s="72" t="inlineStr">
        <is>
          <t>HOSE</t>
        </is>
      </c>
      <c r="E79" s="40" t="n">
        <v>38450</v>
      </c>
      <c r="F79" s="40" t="n">
        <v>38350</v>
      </c>
      <c r="G79" s="40" t="n">
        <v>37000</v>
      </c>
      <c r="H79" s="40" t="n">
        <v>39500</v>
      </c>
      <c r="I79" s="40" t="n">
        <v>39250</v>
      </c>
      <c r="J79" s="40" t="n">
        <v>38400</v>
      </c>
      <c r="K79" s="40" t="n">
        <v>39900</v>
      </c>
      <c r="L79" s="40" t="n">
        <v>41750</v>
      </c>
      <c r="M79" s="40" t="n">
        <v>40000</v>
      </c>
      <c r="N79" s="40" t="n">
        <v>40650</v>
      </c>
      <c r="O79" s="40" t="n">
        <v>40200</v>
      </c>
      <c r="P79" s="40" t="n">
        <v>42700</v>
      </c>
      <c r="Q79" s="40" t="n">
        <v>40250</v>
      </c>
      <c r="R79" s="40" t="n">
        <v>40950</v>
      </c>
      <c r="S79" s="40" t="n">
        <v>42150</v>
      </c>
      <c r="T79" s="40" t="n">
        <v>37900</v>
      </c>
      <c r="U79" s="40" t="n">
        <v>37350</v>
      </c>
      <c r="V79" s="40" t="n">
        <v>38100</v>
      </c>
      <c r="W79" s="40" t="n">
        <v>37500</v>
      </c>
      <c r="X79" s="40" t="n">
        <v>38400</v>
      </c>
      <c r="Y79" s="40" t="n">
        <v>38950</v>
      </c>
      <c r="Z79" s="40" t="n">
        <v>37200</v>
      </c>
      <c r="AA79" s="40" t="n">
        <v>37500</v>
      </c>
      <c r="AB79" s="40" t="n">
        <v>36500</v>
      </c>
      <c r="AC79" s="40" t="n">
        <v>36550</v>
      </c>
      <c r="AD79" s="40" t="n">
        <v>38800</v>
      </c>
      <c r="AE79" s="40" t="n">
        <v>36700</v>
      </c>
      <c r="AF79" s="40" t="n">
        <v>38000</v>
      </c>
      <c r="AG79" s="40" t="n">
        <v>38300</v>
      </c>
      <c r="AH79" s="40" t="n">
        <v>38950</v>
      </c>
      <c r="AI79" s="40" t="n">
        <v>38100</v>
      </c>
      <c r="AJ79" s="40" t="n">
        <v>36200</v>
      </c>
      <c r="AK79" s="40" t="n">
        <v>36800</v>
      </c>
      <c r="AL79" s="40" t="n">
        <v>37000</v>
      </c>
      <c r="AM79" s="40" t="n">
        <v>38000</v>
      </c>
      <c r="AN79" s="40" t="n">
        <v>41250</v>
      </c>
      <c r="AO79" s="40" t="n">
        <v>41000</v>
      </c>
      <c r="AP79" s="40" t="n">
        <v>40550</v>
      </c>
      <c r="AQ79" s="40" t="n">
        <v>41250</v>
      </c>
      <c r="AR79" s="40" t="n">
        <v>39500</v>
      </c>
      <c r="AS79" s="40" t="n">
        <v>39500</v>
      </c>
      <c r="AT79" s="40" t="n">
        <v>39500</v>
      </c>
      <c r="AU79" s="40" t="n">
        <v>42700</v>
      </c>
      <c r="AV79" s="40" t="n">
        <v>42850</v>
      </c>
      <c r="AW79" s="40" t="n">
        <v>41200</v>
      </c>
      <c r="AX79" s="40" t="n">
        <v>38900</v>
      </c>
      <c r="AY79" s="40" t="n">
        <v>40500</v>
      </c>
      <c r="AZ79" s="40" t="n">
        <v>40700</v>
      </c>
      <c r="BA79" s="40" t="n">
        <v>41200</v>
      </c>
      <c r="BB79" s="40" t="n">
        <v>40950</v>
      </c>
      <c r="BC79" s="40" t="n">
        <v>41050</v>
      </c>
      <c r="BD79" s="40" t="n">
        <v>41200</v>
      </c>
      <c r="BE79" s="40" t="n">
        <v>41600</v>
      </c>
      <c r="BF79" s="40" t="n">
        <v>44200</v>
      </c>
      <c r="BG79" s="40" t="n">
        <v>41800</v>
      </c>
      <c r="BH79" s="40" t="n">
        <v>41600</v>
      </c>
      <c r="BI79" s="42">
        <f>MIN(E79:BH79)</f>
        <v/>
      </c>
      <c r="BJ79" s="42">
        <f>MAX(E79:BH79)</f>
        <v/>
      </c>
      <c r="BK79" s="42">
        <f>AVERAGE(E79:BH79)</f>
        <v/>
      </c>
    </row>
    <row r="80" ht="19" customHeight="1">
      <c r="A80" s="72" t="n">
        <v>79</v>
      </c>
      <c r="B80" s="38" t="inlineStr">
        <is>
          <t>CSV</t>
        </is>
      </c>
      <c r="C80" s="39" t="inlineStr">
        <is>
          <t>Hóa Chất, Phân Bón &amp; Cao Su</t>
        </is>
      </c>
      <c r="D80" s="72" t="inlineStr">
        <is>
          <t>HOSE</t>
        </is>
      </c>
      <c r="E80" s="40" t="n">
        <v>34750</v>
      </c>
      <c r="F80" s="40" t="n">
        <v>35750</v>
      </c>
      <c r="G80" s="40" t="n">
        <v>33800</v>
      </c>
      <c r="H80" s="40" t="n">
        <v>34700</v>
      </c>
      <c r="I80" s="40" t="n">
        <v>36150</v>
      </c>
      <c r="J80" s="40" t="n">
        <v>35500</v>
      </c>
      <c r="K80" s="40" t="n">
        <v>35500</v>
      </c>
      <c r="L80" s="40" t="n">
        <v>34950</v>
      </c>
      <c r="M80" s="40" t="n">
        <v>35700</v>
      </c>
      <c r="N80" s="40" t="n">
        <v>36250</v>
      </c>
      <c r="O80" s="40" t="n">
        <v>36000</v>
      </c>
      <c r="P80" s="40" t="n">
        <v>38200</v>
      </c>
      <c r="Q80" s="40" t="n">
        <v>35700</v>
      </c>
      <c r="R80" s="40" t="n">
        <v>36450</v>
      </c>
      <c r="S80" s="40" t="n">
        <v>36300</v>
      </c>
      <c r="T80" s="40" t="n">
        <v>33650</v>
      </c>
      <c r="U80" s="40" t="n">
        <v>33750</v>
      </c>
      <c r="V80" s="40" t="n">
        <v>34050</v>
      </c>
      <c r="W80" s="40" t="n">
        <v>32550</v>
      </c>
      <c r="X80" s="40" t="n">
        <v>33800</v>
      </c>
      <c r="Y80" s="40" t="n">
        <v>33100</v>
      </c>
      <c r="Z80" s="40" t="n">
        <v>31150</v>
      </c>
      <c r="AA80" s="40" t="n">
        <v>31000</v>
      </c>
      <c r="AB80" s="40" t="n">
        <v>30100</v>
      </c>
      <c r="AC80" s="40" t="n">
        <v>29100</v>
      </c>
      <c r="AD80" s="40" t="n">
        <v>31500</v>
      </c>
      <c r="AE80" s="40" t="n">
        <v>31100</v>
      </c>
      <c r="AF80" s="40" t="n">
        <v>31850</v>
      </c>
      <c r="AG80" s="40" t="n">
        <v>31350</v>
      </c>
      <c r="AH80" s="40" t="n">
        <v>30450</v>
      </c>
      <c r="AI80" s="40" t="n">
        <v>30550</v>
      </c>
      <c r="AJ80" s="40" t="n">
        <v>28450</v>
      </c>
      <c r="AK80" s="40" t="n">
        <v>28000</v>
      </c>
      <c r="AL80" s="40" t="n">
        <v>26900</v>
      </c>
      <c r="AM80" s="40" t="n">
        <v>27300</v>
      </c>
      <c r="AN80" s="40" t="n">
        <v>28450</v>
      </c>
      <c r="AO80" s="40" t="n">
        <v>30900</v>
      </c>
      <c r="AP80" s="40" t="n">
        <v>30700</v>
      </c>
      <c r="AQ80" s="40" t="n">
        <v>28700</v>
      </c>
      <c r="AR80" s="40" t="n">
        <v>29500</v>
      </c>
      <c r="AS80" s="40" t="n">
        <v>29000</v>
      </c>
      <c r="AT80" s="40" t="n">
        <v>29000</v>
      </c>
      <c r="AU80" s="40" t="n">
        <v>31650</v>
      </c>
      <c r="AV80" s="40" t="n">
        <v>29900</v>
      </c>
      <c r="AW80" s="40" t="n">
        <v>28550</v>
      </c>
      <c r="AX80" s="40" t="n">
        <v>27700</v>
      </c>
      <c r="AY80" s="40" t="n">
        <v>27500</v>
      </c>
      <c r="AZ80" s="40" t="n">
        <v>27550</v>
      </c>
      <c r="BA80" s="40" t="n">
        <v>27650</v>
      </c>
      <c r="BB80" s="40" t="n">
        <v>27450</v>
      </c>
      <c r="BC80" s="40" t="n">
        <v>26300</v>
      </c>
      <c r="BD80" s="40" t="n">
        <v>25950</v>
      </c>
      <c r="BE80" s="40" t="n">
        <v>26200</v>
      </c>
      <c r="BF80" s="40" t="n">
        <v>26100</v>
      </c>
      <c r="BG80" s="40" t="n">
        <v>25800</v>
      </c>
      <c r="BH80" s="40" t="n">
        <v>24700</v>
      </c>
      <c r="BI80" s="42">
        <f>MIN(E80:BH80)</f>
        <v/>
      </c>
      <c r="BJ80" s="42">
        <f>MAX(E80:BH80)</f>
        <v/>
      </c>
      <c r="BK80" s="42">
        <f>AVERAGE(E80:BH80)</f>
        <v/>
      </c>
    </row>
    <row r="81" ht="19" customHeight="1">
      <c r="A81" s="72" t="n">
        <v>80</v>
      </c>
      <c r="B81" s="38" t="inlineStr">
        <is>
          <t>DGC</t>
        </is>
      </c>
      <c r="C81" s="39" t="inlineStr">
        <is>
          <t>Hóa Chất, Phân Bón &amp; Cao Su</t>
        </is>
      </c>
      <c r="D81" s="72" t="inlineStr">
        <is>
          <t>HOSE</t>
        </is>
      </c>
      <c r="E81" s="40" t="n">
        <v>92200</v>
      </c>
      <c r="F81" s="40" t="n">
        <v>93500</v>
      </c>
      <c r="G81" s="40" t="n">
        <v>88800</v>
      </c>
      <c r="H81" s="40" t="n">
        <v>89500</v>
      </c>
      <c r="I81" s="40" t="n">
        <v>90600</v>
      </c>
      <c r="J81" s="40" t="n">
        <v>92900</v>
      </c>
      <c r="K81" s="40" t="n">
        <v>97400</v>
      </c>
      <c r="L81" s="40" t="n">
        <v>96700</v>
      </c>
      <c r="M81" s="40" t="n">
        <v>103000</v>
      </c>
      <c r="N81" s="40" t="n">
        <v>101500</v>
      </c>
      <c r="O81" s="40" t="n">
        <v>103100</v>
      </c>
      <c r="P81" s="40" t="n">
        <v>105200</v>
      </c>
      <c r="Q81" s="40" t="n">
        <v>102900</v>
      </c>
      <c r="R81" s="40" t="n">
        <v>106300</v>
      </c>
      <c r="S81" s="40" t="n">
        <v>105900</v>
      </c>
      <c r="T81" s="40" t="n">
        <v>96700</v>
      </c>
      <c r="U81" s="40" t="n">
        <v>99700</v>
      </c>
      <c r="V81" s="40" t="n">
        <v>99300</v>
      </c>
      <c r="W81" s="40" t="n">
        <v>97000</v>
      </c>
      <c r="X81" s="40" t="n">
        <v>98800</v>
      </c>
      <c r="Y81" s="40" t="n">
        <v>96500</v>
      </c>
      <c r="Z81" s="40" t="n">
        <v>91800</v>
      </c>
      <c r="AA81" s="40" t="n">
        <v>93500</v>
      </c>
      <c r="AB81" s="40" t="n">
        <v>95000</v>
      </c>
      <c r="AC81" s="40" t="n">
        <v>91000</v>
      </c>
      <c r="AD81" s="40" t="n">
        <v>93600</v>
      </c>
      <c r="AE81" s="40" t="n">
        <v>93100</v>
      </c>
      <c r="AF81" s="40" t="n">
        <v>99400</v>
      </c>
      <c r="AG81" s="40" t="n">
        <v>96800</v>
      </c>
      <c r="AH81" s="40" t="n">
        <v>94300</v>
      </c>
      <c r="AI81" s="40" t="n">
        <v>95000</v>
      </c>
      <c r="AJ81" s="40" t="n">
        <v>92000</v>
      </c>
      <c r="AK81" s="40" t="n">
        <v>70200</v>
      </c>
      <c r="AL81" s="40" t="n">
        <v>60900</v>
      </c>
      <c r="AM81" s="40" t="n">
        <v>68500</v>
      </c>
      <c r="AN81" s="40" t="n">
        <v>62700</v>
      </c>
      <c r="AO81" s="40" t="n">
        <v>66000</v>
      </c>
      <c r="AP81" s="40" t="n">
        <v>73900</v>
      </c>
      <c r="AQ81" s="40" t="n">
        <v>68600</v>
      </c>
      <c r="AR81" s="40" t="n">
        <v>65300</v>
      </c>
      <c r="AS81" s="40" t="n">
        <v>68400</v>
      </c>
      <c r="AT81" s="40" t="n">
        <v>68400</v>
      </c>
      <c r="AU81" s="40" t="n">
        <v>73800</v>
      </c>
      <c r="AV81" s="40" t="n">
        <v>73100</v>
      </c>
      <c r="AW81" s="40" t="n">
        <v>77400</v>
      </c>
      <c r="AX81" s="40" t="n">
        <v>55500</v>
      </c>
      <c r="AY81" s="40" t="n">
        <v>51800</v>
      </c>
      <c r="AZ81" s="40" t="n">
        <v>56500</v>
      </c>
      <c r="BA81" s="40" t="n">
        <v>54000</v>
      </c>
      <c r="BB81" s="40" t="n">
        <v>54500</v>
      </c>
      <c r="BC81" s="40" t="n">
        <v>53300</v>
      </c>
      <c r="BD81" s="40" t="n">
        <v>53600</v>
      </c>
      <c r="BE81" s="40" t="n">
        <v>52200</v>
      </c>
      <c r="BF81" s="40" t="n">
        <v>51500</v>
      </c>
      <c r="BG81" s="40" t="n">
        <v>48500</v>
      </c>
      <c r="BH81" s="40" t="n">
        <v>46500</v>
      </c>
      <c r="BI81" s="42">
        <f>MIN(E81:BH81)</f>
        <v/>
      </c>
      <c r="BJ81" s="42">
        <f>MAX(E81:BH81)</f>
        <v/>
      </c>
      <c r="BK81" s="42">
        <f>AVERAGE(E81:BH81)</f>
        <v/>
      </c>
    </row>
    <row r="82" ht="19" customHeight="1">
      <c r="A82" s="73" t="n">
        <v>81</v>
      </c>
      <c r="B82" s="44" t="inlineStr">
        <is>
          <t>PNJ</t>
        </is>
      </c>
      <c r="C82" s="45" t="inlineStr">
        <is>
          <t>Bán Lẻ, Tiêu Dùng &amp; Thực Phẩm</t>
        </is>
      </c>
      <c r="D82" s="73" t="inlineStr">
        <is>
          <t>HOSE</t>
        </is>
      </c>
      <c r="E82" s="46" t="n">
        <v>49333.33203125</v>
      </c>
      <c r="F82" s="46" t="n">
        <v>56266.66796875</v>
      </c>
      <c r="G82" s="46" t="n">
        <v>52600</v>
      </c>
      <c r="H82" s="46" t="n">
        <v>56000</v>
      </c>
      <c r="I82" s="46" t="n">
        <v>51933.33203125</v>
      </c>
      <c r="J82" s="46" t="n">
        <v>52200</v>
      </c>
      <c r="K82" s="46" t="n">
        <v>53533.33203125</v>
      </c>
      <c r="L82" s="46" t="n">
        <v>53933.33203125</v>
      </c>
      <c r="M82" s="46" t="n">
        <v>55000</v>
      </c>
      <c r="N82" s="46" t="n">
        <v>54866.66796875</v>
      </c>
      <c r="O82" s="46" t="n">
        <v>57533.33203125</v>
      </c>
      <c r="P82" s="46" t="n">
        <v>57333.33203125</v>
      </c>
      <c r="Q82" s="46" t="n">
        <v>56266.66796875</v>
      </c>
      <c r="R82" s="46" t="n">
        <v>57600</v>
      </c>
      <c r="S82" s="46" t="n">
        <v>58666.66796875</v>
      </c>
      <c r="T82" s="46" t="n">
        <v>57066.66796875</v>
      </c>
      <c r="U82" s="46" t="n">
        <v>57066.66796875</v>
      </c>
      <c r="V82" s="46" t="n">
        <v>58933.33203125</v>
      </c>
      <c r="W82" s="46" t="n">
        <v>57466.66796875</v>
      </c>
      <c r="X82" s="46" t="n">
        <v>58733.33203125</v>
      </c>
      <c r="Y82" s="46" t="n">
        <v>57466.66796875</v>
      </c>
      <c r="Z82" s="46" t="n">
        <v>55400</v>
      </c>
      <c r="AA82" s="46" t="n">
        <v>56666.66796875</v>
      </c>
      <c r="AB82" s="46" t="n">
        <v>61400</v>
      </c>
      <c r="AC82" s="46" t="n">
        <v>61533.33203125</v>
      </c>
      <c r="AD82" s="46" t="n">
        <v>63066.66796875</v>
      </c>
      <c r="AE82" s="46" t="n">
        <v>58333.33203125</v>
      </c>
      <c r="AF82" s="46" t="n">
        <v>60000</v>
      </c>
      <c r="AG82" s="46" t="n">
        <v>58066.66796875</v>
      </c>
      <c r="AH82" s="46" t="n">
        <v>60666.66796875</v>
      </c>
      <c r="AI82" s="46" t="n">
        <v>61066.66796875</v>
      </c>
      <c r="AJ82" s="46" t="n">
        <v>59866.66796875</v>
      </c>
      <c r="AK82" s="46" t="n">
        <v>61666.66796875</v>
      </c>
      <c r="AL82" s="46" t="n">
        <v>63933.33203125</v>
      </c>
      <c r="AM82" s="46" t="n">
        <v>64666.66796875</v>
      </c>
      <c r="AN82" s="46" t="n">
        <v>68666.6640625</v>
      </c>
      <c r="AO82" s="46" t="n">
        <v>71800</v>
      </c>
      <c r="AP82" s="46" t="n">
        <v>74933.3359375</v>
      </c>
      <c r="AQ82" s="46" t="n">
        <v>84666.6640625</v>
      </c>
      <c r="AR82" s="46" t="n">
        <v>72600</v>
      </c>
      <c r="AS82" s="46" t="n">
        <v>80000</v>
      </c>
      <c r="AT82" s="46" t="n">
        <v>80000</v>
      </c>
      <c r="AU82" s="46" t="n">
        <v>81266.6640625</v>
      </c>
      <c r="AV82" s="46" t="n">
        <v>76333.3359375</v>
      </c>
      <c r="AW82" s="46" t="n">
        <v>77933.3359375</v>
      </c>
      <c r="AX82" s="46" t="n">
        <v>76133.3359375</v>
      </c>
      <c r="AY82" s="46" t="n">
        <v>73266.6640625</v>
      </c>
      <c r="AZ82" s="46" t="n">
        <v>72533.3359375</v>
      </c>
      <c r="BA82" s="46" t="n">
        <v>72666.6640625</v>
      </c>
      <c r="BB82" s="46" t="n">
        <v>74000</v>
      </c>
      <c r="BC82" s="46" t="n">
        <v>70000</v>
      </c>
      <c r="BD82" s="46" t="n">
        <v>67300</v>
      </c>
      <c r="BE82" s="46" t="n">
        <v>70100</v>
      </c>
      <c r="BF82" s="46" t="n">
        <v>67300</v>
      </c>
      <c r="BG82" s="46" t="n">
        <v>65500</v>
      </c>
      <c r="BH82" s="46" t="n">
        <v>65800</v>
      </c>
      <c r="BI82" s="48">
        <f>MIN(E82:BH82)</f>
        <v/>
      </c>
      <c r="BJ82" s="48">
        <f>MAX(E82:BH82)</f>
        <v/>
      </c>
      <c r="BK82" s="48">
        <f>AVERAGE(E82:BH82)</f>
        <v/>
      </c>
    </row>
    <row r="83" ht="19" customHeight="1">
      <c r="A83" s="73" t="n">
        <v>82</v>
      </c>
      <c r="B83" s="44" t="inlineStr">
        <is>
          <t>VHC</t>
        </is>
      </c>
      <c r="C83" s="45" t="inlineStr">
        <is>
          <t>Bán Lẻ, Tiêu Dùng &amp; Thực Phẩm</t>
        </is>
      </c>
      <c r="D83" s="73" t="inlineStr">
        <is>
          <t>HOSE</t>
        </is>
      </c>
      <c r="E83" s="46" t="n">
        <v>51700</v>
      </c>
      <c r="F83" s="46" t="n">
        <v>53900</v>
      </c>
      <c r="G83" s="46" t="n">
        <v>53100</v>
      </c>
      <c r="H83" s="46" t="n">
        <v>57700</v>
      </c>
      <c r="I83" s="46" t="n">
        <v>56400</v>
      </c>
      <c r="J83" s="46" t="n">
        <v>54100</v>
      </c>
      <c r="K83" s="46" t="n">
        <v>54000</v>
      </c>
      <c r="L83" s="46" t="n">
        <v>58500</v>
      </c>
      <c r="M83" s="46" t="n">
        <v>57400</v>
      </c>
      <c r="N83" s="46" t="n">
        <v>59100</v>
      </c>
      <c r="O83" s="46" t="n">
        <v>57600</v>
      </c>
      <c r="P83" s="46" t="n">
        <v>58200</v>
      </c>
      <c r="Q83" s="46" t="n">
        <v>56600</v>
      </c>
      <c r="R83" s="46" t="n">
        <v>59600</v>
      </c>
      <c r="S83" s="46" t="n">
        <v>61300</v>
      </c>
      <c r="T83" s="46" t="n">
        <v>56400</v>
      </c>
      <c r="U83" s="46" t="n">
        <v>57500</v>
      </c>
      <c r="V83" s="46" t="n">
        <v>58200</v>
      </c>
      <c r="W83" s="46" t="n">
        <v>59700</v>
      </c>
      <c r="X83" s="46" t="n">
        <v>63500</v>
      </c>
      <c r="Y83" s="46" t="n">
        <v>59800</v>
      </c>
      <c r="Z83" s="46" t="n">
        <v>54000</v>
      </c>
      <c r="AA83" s="46" t="n">
        <v>55200</v>
      </c>
      <c r="AB83" s="46" t="n">
        <v>54300</v>
      </c>
      <c r="AC83" s="46" t="n">
        <v>54700</v>
      </c>
      <c r="AD83" s="46" t="n">
        <v>57600</v>
      </c>
      <c r="AE83" s="46" t="n">
        <v>56000</v>
      </c>
      <c r="AF83" s="46" t="n">
        <v>58600</v>
      </c>
      <c r="AG83" s="46" t="n">
        <v>58400</v>
      </c>
      <c r="AH83" s="46" t="n">
        <v>57600</v>
      </c>
      <c r="AI83" s="46" t="n">
        <v>56800</v>
      </c>
      <c r="AJ83" s="46" t="n">
        <v>55000</v>
      </c>
      <c r="AK83" s="46" t="n">
        <v>54500</v>
      </c>
      <c r="AL83" s="46" t="n">
        <v>53700</v>
      </c>
      <c r="AM83" s="46" t="n">
        <v>56100</v>
      </c>
      <c r="AN83" s="46" t="n">
        <v>57100</v>
      </c>
      <c r="AO83" s="46" t="n">
        <v>60100</v>
      </c>
      <c r="AP83" s="46" t="n">
        <v>59000</v>
      </c>
      <c r="AQ83" s="46" t="n">
        <v>64700</v>
      </c>
      <c r="AR83" s="46" t="n">
        <v>60000</v>
      </c>
      <c r="AS83" s="46" t="n">
        <v>60100</v>
      </c>
      <c r="AT83" s="46" t="n">
        <v>60100</v>
      </c>
      <c r="AU83" s="46" t="n">
        <v>61500</v>
      </c>
      <c r="AV83" s="46" t="n">
        <v>59200</v>
      </c>
      <c r="AW83" s="46" t="n">
        <v>60600</v>
      </c>
      <c r="AX83" s="46" t="n">
        <v>57500</v>
      </c>
      <c r="AY83" s="46" t="n">
        <v>58800</v>
      </c>
      <c r="AZ83" s="46" t="n">
        <v>57400</v>
      </c>
      <c r="BA83" s="46" t="n">
        <v>61200</v>
      </c>
      <c r="BB83" s="46" t="n">
        <v>61300</v>
      </c>
      <c r="BC83" s="46" t="n">
        <v>62400</v>
      </c>
      <c r="BD83" s="46" t="n">
        <v>61200</v>
      </c>
      <c r="BE83" s="46" t="n">
        <v>60500</v>
      </c>
      <c r="BF83" s="46" t="n">
        <v>60000</v>
      </c>
      <c r="BG83" s="46" t="n">
        <v>59000</v>
      </c>
      <c r="BH83" s="46" t="n">
        <v>58700</v>
      </c>
      <c r="BI83" s="48">
        <f>MIN(E83:BH83)</f>
        <v/>
      </c>
      <c r="BJ83" s="48">
        <f>MAX(E83:BH83)</f>
        <v/>
      </c>
      <c r="BK83" s="48">
        <f>AVERAGE(E83:BH83)</f>
        <v/>
      </c>
    </row>
    <row r="84" ht="19" customHeight="1">
      <c r="A84" s="73" t="n">
        <v>83</v>
      </c>
      <c r="B84" s="44" t="inlineStr">
        <is>
          <t>BAF</t>
        </is>
      </c>
      <c r="C84" s="45" t="inlineStr">
        <is>
          <t>Bán Lẻ, Tiêu Dùng &amp; Thực Phẩm</t>
        </is>
      </c>
      <c r="D84" s="73" t="inlineStr">
        <is>
          <t>HOSE</t>
        </is>
      </c>
      <c r="E84" s="46" t="n">
        <v>28181.818359375</v>
      </c>
      <c r="F84" s="46" t="n">
        <v>28801.65234375</v>
      </c>
      <c r="G84" s="46" t="n">
        <v>29173.5546875</v>
      </c>
      <c r="H84" s="46" t="n">
        <v>29173.5546875</v>
      </c>
      <c r="I84" s="46" t="n">
        <v>30000</v>
      </c>
      <c r="J84" s="46" t="n">
        <v>29214.876953125</v>
      </c>
      <c r="K84" s="46" t="n">
        <v>29380.166015625</v>
      </c>
      <c r="L84" s="46" t="n">
        <v>29008.263671875</v>
      </c>
      <c r="M84" s="46" t="n">
        <v>28057.8515625</v>
      </c>
      <c r="N84" s="46" t="n">
        <v>27892.5625</v>
      </c>
      <c r="O84" s="46" t="n">
        <v>28099.173828125</v>
      </c>
      <c r="P84" s="46" t="n">
        <v>28099.173828125</v>
      </c>
      <c r="Q84" s="46" t="n">
        <v>28512.396484375</v>
      </c>
      <c r="R84" s="46" t="n">
        <v>28801.65234375</v>
      </c>
      <c r="S84" s="46" t="n">
        <v>29586.77734375</v>
      </c>
      <c r="T84" s="46" t="n">
        <v>30247.93359375</v>
      </c>
      <c r="U84" s="46" t="n">
        <v>28512.396484375</v>
      </c>
      <c r="V84" s="46" t="n">
        <v>28636.36328125</v>
      </c>
      <c r="W84" s="46" t="n">
        <v>28388.4296875</v>
      </c>
      <c r="X84" s="46" t="n">
        <v>28057.8515625</v>
      </c>
      <c r="Y84" s="46" t="n">
        <v>28884.296875</v>
      </c>
      <c r="Z84" s="46" t="n">
        <v>28760.330078125</v>
      </c>
      <c r="AA84" s="46" t="n">
        <v>29256.19921875</v>
      </c>
      <c r="AB84" s="46" t="n">
        <v>28057.8515625</v>
      </c>
      <c r="AC84" s="46" t="n">
        <v>27066.115234375</v>
      </c>
      <c r="AD84" s="46" t="n">
        <v>26528.92578125</v>
      </c>
      <c r="AE84" s="46" t="n">
        <v>26239.669921875</v>
      </c>
      <c r="AF84" s="46" t="n">
        <v>26652.892578125</v>
      </c>
      <c r="AG84" s="46" t="n">
        <v>26280.9921875</v>
      </c>
      <c r="AH84" s="46" t="n">
        <v>26033.05859375</v>
      </c>
      <c r="AI84" s="46" t="n">
        <v>28471.07421875</v>
      </c>
      <c r="AJ84" s="46" t="n">
        <v>28884.296875</v>
      </c>
      <c r="AK84" s="46" t="n">
        <v>29008.263671875</v>
      </c>
      <c r="AL84" s="46" t="n">
        <v>30991.736328125</v>
      </c>
      <c r="AM84" s="46" t="n">
        <v>30950.4140625</v>
      </c>
      <c r="AN84" s="46" t="n">
        <v>30743.80078125</v>
      </c>
      <c r="AO84" s="46" t="n">
        <v>32314.048828125</v>
      </c>
      <c r="AP84" s="46" t="n">
        <v>31859.50390625</v>
      </c>
      <c r="AQ84" s="46" t="n">
        <v>29628.099609375</v>
      </c>
      <c r="AR84" s="46" t="n">
        <v>31446.28125</v>
      </c>
      <c r="AS84" s="46" t="n">
        <v>31611.5703125</v>
      </c>
      <c r="AT84" s="46" t="n">
        <v>31611.5703125</v>
      </c>
      <c r="AU84" s="46" t="n">
        <v>31157.025390625</v>
      </c>
      <c r="AV84" s="46" t="n">
        <v>30661.15625</v>
      </c>
      <c r="AW84" s="46" t="n">
        <v>29090.908203125</v>
      </c>
      <c r="AX84" s="46" t="n">
        <v>28884.296875</v>
      </c>
      <c r="AY84" s="46" t="n">
        <v>28677.685546875</v>
      </c>
      <c r="AZ84" s="46" t="n">
        <v>28884.296875</v>
      </c>
      <c r="BA84" s="46" t="n">
        <v>28842.974609375</v>
      </c>
      <c r="BB84" s="46" t="n">
        <v>29917.35546875</v>
      </c>
      <c r="BC84" s="46" t="n">
        <v>30330.578125</v>
      </c>
      <c r="BD84" s="46" t="n">
        <v>29793.388671875</v>
      </c>
      <c r="BE84" s="46" t="n">
        <v>29421.48828125</v>
      </c>
      <c r="BF84" s="46" t="n">
        <v>29173.5546875</v>
      </c>
      <c r="BG84" s="46" t="n">
        <v>28595.041015625</v>
      </c>
      <c r="BH84" s="46" t="n">
        <v>28677.685546875</v>
      </c>
      <c r="BI84" s="48">
        <f>MIN(E84:BH84)</f>
        <v/>
      </c>
      <c r="BJ84" s="48">
        <f>MAX(E84:BH84)</f>
        <v/>
      </c>
      <c r="BK84" s="48">
        <f>AVERAGE(E84:BH84)</f>
        <v/>
      </c>
    </row>
    <row r="85" ht="19" customHeight="1">
      <c r="A85" s="73" t="n">
        <v>84</v>
      </c>
      <c r="B85" s="44" t="inlineStr">
        <is>
          <t>PAN</t>
        </is>
      </c>
      <c r="C85" s="45" t="inlineStr">
        <is>
          <t>Bán Lẻ, Tiêu Dùng &amp; Thực Phẩm</t>
        </is>
      </c>
      <c r="D85" s="73" t="inlineStr">
        <is>
          <t>HOSE</t>
        </is>
      </c>
      <c r="E85" s="46" t="n">
        <v>19666.666015625</v>
      </c>
      <c r="F85" s="46" t="n">
        <v>20000</v>
      </c>
      <c r="G85" s="46" t="n">
        <v>19833.333984375</v>
      </c>
      <c r="H85" s="46" t="n">
        <v>22291.666015625</v>
      </c>
      <c r="I85" s="46" t="n">
        <v>23333.333984375</v>
      </c>
      <c r="J85" s="46" t="n">
        <v>22333.333984375</v>
      </c>
      <c r="K85" s="46" t="n">
        <v>22083.333984375</v>
      </c>
      <c r="L85" s="46" t="n">
        <v>22250</v>
      </c>
      <c r="M85" s="46" t="n">
        <v>23791.666015625</v>
      </c>
      <c r="N85" s="46" t="n">
        <v>24083.333984375</v>
      </c>
      <c r="O85" s="46" t="n">
        <v>25083.333984375</v>
      </c>
      <c r="P85" s="46" t="n">
        <v>28291.666015625</v>
      </c>
      <c r="Q85" s="46" t="n">
        <v>28333.333984375</v>
      </c>
      <c r="R85" s="46" t="n">
        <v>29083.333984375</v>
      </c>
      <c r="S85" s="46" t="n">
        <v>28125</v>
      </c>
      <c r="T85" s="46" t="n">
        <v>25791.666015625</v>
      </c>
      <c r="U85" s="46" t="n">
        <v>28125</v>
      </c>
      <c r="V85" s="46" t="n">
        <v>27833.333984375</v>
      </c>
      <c r="W85" s="46" t="n">
        <v>27541.666015625</v>
      </c>
      <c r="X85" s="46" t="n">
        <v>27625</v>
      </c>
      <c r="Y85" s="46" t="n">
        <v>27833.333984375</v>
      </c>
      <c r="Z85" s="46" t="n">
        <v>26500</v>
      </c>
      <c r="AA85" s="46" t="n">
        <v>25750</v>
      </c>
      <c r="AB85" s="46" t="n">
        <v>26125</v>
      </c>
      <c r="AC85" s="46" t="n">
        <v>24916.666015625</v>
      </c>
      <c r="AD85" s="46" t="n">
        <v>26083.333984375</v>
      </c>
      <c r="AE85" s="46" t="n">
        <v>25208.333984375</v>
      </c>
      <c r="AF85" s="46" t="n">
        <v>23958.333984375</v>
      </c>
      <c r="AG85" s="46" t="n">
        <v>22916.666015625</v>
      </c>
      <c r="AH85" s="46" t="n">
        <v>23000</v>
      </c>
      <c r="AI85" s="46" t="n">
        <v>23166.666015625</v>
      </c>
      <c r="AJ85" s="46" t="n">
        <v>23416.666015625</v>
      </c>
      <c r="AK85" s="46" t="n">
        <v>23416.666015625</v>
      </c>
      <c r="AL85" s="46" t="n">
        <v>23166.666015625</v>
      </c>
      <c r="AM85" s="46" t="n">
        <v>22750</v>
      </c>
      <c r="AN85" s="46" t="n">
        <v>22250</v>
      </c>
      <c r="AO85" s="46" t="n">
        <v>23500</v>
      </c>
      <c r="AP85" s="46" t="n">
        <v>24166.666015625</v>
      </c>
      <c r="AQ85" s="46" t="n">
        <v>24833.333984375</v>
      </c>
      <c r="AR85" s="46" t="n">
        <v>25166.666015625</v>
      </c>
      <c r="AS85" s="46" t="n">
        <v>26333.333984375</v>
      </c>
      <c r="AT85" s="46" t="n">
        <v>26333.333984375</v>
      </c>
      <c r="AU85" s="46" t="n">
        <v>27500</v>
      </c>
      <c r="AV85" s="46" t="n">
        <v>28000</v>
      </c>
      <c r="AW85" s="46" t="n">
        <v>26833.333984375</v>
      </c>
      <c r="AX85" s="46" t="n">
        <v>23541.666015625</v>
      </c>
      <c r="AY85" s="46" t="n">
        <v>25125</v>
      </c>
      <c r="AZ85" s="46" t="n">
        <v>26208.333984375</v>
      </c>
      <c r="BA85" s="46" t="n">
        <v>26916.666015625</v>
      </c>
      <c r="BB85" s="46" t="n">
        <v>26666.666015625</v>
      </c>
      <c r="BC85" s="46" t="n">
        <v>26500</v>
      </c>
      <c r="BD85" s="46" t="n">
        <v>26250</v>
      </c>
      <c r="BE85" s="46" t="n">
        <v>27291.666015625</v>
      </c>
      <c r="BF85" s="46" t="n">
        <v>27458.333984375</v>
      </c>
      <c r="BG85" s="46" t="n">
        <v>27208.333984375</v>
      </c>
      <c r="BH85" s="46" t="n">
        <v>24450</v>
      </c>
      <c r="BI85" s="48">
        <f>MIN(E85:BH85)</f>
        <v/>
      </c>
      <c r="BJ85" s="48">
        <f>MAX(E85:BH85)</f>
        <v/>
      </c>
      <c r="BK85" s="48">
        <f>AVERAGE(E85:BH85)</f>
        <v/>
      </c>
    </row>
    <row r="86" ht="19" customHeight="1">
      <c r="A86" s="73" t="n">
        <v>85</v>
      </c>
      <c r="B86" s="44" t="inlineStr">
        <is>
          <t>HAG</t>
        </is>
      </c>
      <c r="C86" s="45" t="inlineStr">
        <is>
          <t>Bán Lẻ, Tiêu Dùng &amp; Thực Phẩm</t>
        </is>
      </c>
      <c r="D86" s="73" t="inlineStr">
        <is>
          <t>HOSE</t>
        </is>
      </c>
      <c r="E86" s="46" t="n">
        <v>13000</v>
      </c>
      <c r="F86" s="46" t="n">
        <v>13200</v>
      </c>
      <c r="G86" s="46" t="n">
        <v>13150</v>
      </c>
      <c r="H86" s="46" t="n">
        <v>13900</v>
      </c>
      <c r="I86" s="46" t="n">
        <v>13000</v>
      </c>
      <c r="J86" s="46" t="n">
        <v>13250</v>
      </c>
      <c r="K86" s="46" t="n">
        <v>12950</v>
      </c>
      <c r="L86" s="46" t="n">
        <v>12950</v>
      </c>
      <c r="M86" s="46" t="n">
        <v>13200</v>
      </c>
      <c r="N86" s="46" t="n">
        <v>13550</v>
      </c>
      <c r="O86" s="46" t="n">
        <v>13900</v>
      </c>
      <c r="P86" s="46" t="n">
        <v>14000</v>
      </c>
      <c r="Q86" s="46" t="n">
        <v>13950</v>
      </c>
      <c r="R86" s="46" t="n">
        <v>15100</v>
      </c>
      <c r="S86" s="46" t="n">
        <v>15900</v>
      </c>
      <c r="T86" s="46" t="n">
        <v>16850</v>
      </c>
      <c r="U86" s="46" t="n">
        <v>16350</v>
      </c>
      <c r="V86" s="46" t="n">
        <v>16450</v>
      </c>
      <c r="W86" s="46" t="n">
        <v>15550</v>
      </c>
      <c r="X86" s="46" t="n">
        <v>15600</v>
      </c>
      <c r="Y86" s="46" t="n">
        <v>15750</v>
      </c>
      <c r="Z86" s="46" t="n">
        <v>16750</v>
      </c>
      <c r="AA86" s="46" t="n">
        <v>17100</v>
      </c>
      <c r="AB86" s="46" t="n">
        <v>16300</v>
      </c>
      <c r="AC86" s="46" t="n">
        <v>15650</v>
      </c>
      <c r="AD86" s="46" t="n">
        <v>17100</v>
      </c>
      <c r="AE86" s="46" t="n">
        <v>15900</v>
      </c>
      <c r="AF86" s="46" t="n">
        <v>17650</v>
      </c>
      <c r="AG86" s="46" t="n">
        <v>17800</v>
      </c>
      <c r="AH86" s="46" t="n">
        <v>17400</v>
      </c>
      <c r="AI86" s="46" t="n">
        <v>18000</v>
      </c>
      <c r="AJ86" s="46" t="n">
        <v>17150</v>
      </c>
      <c r="AK86" s="46" t="n">
        <v>18050</v>
      </c>
      <c r="AL86" s="46" t="n">
        <v>17900</v>
      </c>
      <c r="AM86" s="46" t="n">
        <v>17550</v>
      </c>
      <c r="AN86" s="46" t="n">
        <v>16600</v>
      </c>
      <c r="AO86" s="46" t="n">
        <v>17750</v>
      </c>
      <c r="AP86" s="46" t="n">
        <v>17950</v>
      </c>
      <c r="AQ86" s="46" t="n">
        <v>17250</v>
      </c>
      <c r="AR86" s="46" t="n">
        <v>16100</v>
      </c>
      <c r="AS86" s="46" t="n">
        <v>16600</v>
      </c>
      <c r="AT86" s="46" t="n">
        <v>16600</v>
      </c>
      <c r="AU86" s="46" t="n">
        <v>15950</v>
      </c>
      <c r="AV86" s="46" t="n">
        <v>15550</v>
      </c>
      <c r="AW86" s="46" t="n">
        <v>15200</v>
      </c>
      <c r="AX86" s="46" t="n">
        <v>15400</v>
      </c>
      <c r="AY86" s="46" t="n">
        <v>16150</v>
      </c>
      <c r="AZ86" s="46" t="n">
        <v>15950</v>
      </c>
      <c r="BA86" s="46" t="n">
        <v>16050</v>
      </c>
      <c r="BB86" s="46" t="n">
        <v>16650</v>
      </c>
      <c r="BC86" s="46" t="n">
        <v>16300</v>
      </c>
      <c r="BD86" s="46" t="n">
        <v>16300</v>
      </c>
      <c r="BE86" s="46" t="n">
        <v>16550</v>
      </c>
      <c r="BF86" s="46" t="n">
        <v>16100</v>
      </c>
      <c r="BG86" s="46" t="n">
        <v>15450</v>
      </c>
      <c r="BH86" s="46" t="n">
        <v>15300</v>
      </c>
      <c r="BI86" s="48">
        <f>MIN(E86:BH86)</f>
        <v/>
      </c>
      <c r="BJ86" s="48">
        <f>MAX(E86:BH86)</f>
        <v/>
      </c>
      <c r="BK86" s="48">
        <f>AVERAGE(E86:BH86)</f>
        <v/>
      </c>
    </row>
    <row r="87" ht="19" customHeight="1">
      <c r="A87" s="73" t="n">
        <v>86</v>
      </c>
      <c r="B87" s="44" t="inlineStr">
        <is>
          <t>DGW</t>
        </is>
      </c>
      <c r="C87" s="45" t="inlineStr">
        <is>
          <t>Bán Lẻ, Tiêu Dùng &amp; Thực Phẩm</t>
        </is>
      </c>
      <c r="D87" s="73" t="inlineStr">
        <is>
          <t>HOSE</t>
        </is>
      </c>
      <c r="E87" s="46" t="n">
        <v>33850</v>
      </c>
      <c r="F87" s="46" t="n">
        <v>34400</v>
      </c>
      <c r="G87" s="46" t="n">
        <v>33150</v>
      </c>
      <c r="H87" s="46" t="n">
        <v>33500</v>
      </c>
      <c r="I87" s="46" t="n">
        <v>34950</v>
      </c>
      <c r="J87" s="46" t="n">
        <v>40300</v>
      </c>
      <c r="K87" s="46" t="n">
        <v>43850</v>
      </c>
      <c r="L87" s="46" t="n">
        <v>46000</v>
      </c>
      <c r="M87" s="46" t="n">
        <v>43750</v>
      </c>
      <c r="N87" s="46" t="n">
        <v>44700</v>
      </c>
      <c r="O87" s="46" t="n">
        <v>44500</v>
      </c>
      <c r="P87" s="46" t="n">
        <v>47000</v>
      </c>
      <c r="Q87" s="46" t="n">
        <v>42550</v>
      </c>
      <c r="R87" s="46" t="n">
        <v>46450</v>
      </c>
      <c r="S87" s="46" t="n">
        <v>46350</v>
      </c>
      <c r="T87" s="46" t="n">
        <v>41500</v>
      </c>
      <c r="U87" s="46" t="n">
        <v>42100</v>
      </c>
      <c r="V87" s="46" t="n">
        <v>44000</v>
      </c>
      <c r="W87" s="46" t="n">
        <v>43750</v>
      </c>
      <c r="X87" s="46" t="n">
        <v>43500</v>
      </c>
      <c r="Y87" s="46" t="n">
        <v>42400</v>
      </c>
      <c r="Z87" s="46" t="n">
        <v>40850</v>
      </c>
      <c r="AA87" s="46" t="n">
        <v>40900</v>
      </c>
      <c r="AB87" s="46" t="n">
        <v>40800</v>
      </c>
      <c r="AC87" s="46" t="n">
        <v>39000</v>
      </c>
      <c r="AD87" s="46" t="n">
        <v>40650</v>
      </c>
      <c r="AE87" s="46" t="n">
        <v>38500</v>
      </c>
      <c r="AF87" s="46" t="n">
        <v>39950</v>
      </c>
      <c r="AG87" s="46" t="n">
        <v>44900</v>
      </c>
      <c r="AH87" s="46" t="n">
        <v>43700</v>
      </c>
      <c r="AI87" s="46" t="n">
        <v>43550</v>
      </c>
      <c r="AJ87" s="46" t="n">
        <v>39200</v>
      </c>
      <c r="AK87" s="46" t="n">
        <v>40150</v>
      </c>
      <c r="AL87" s="46" t="n">
        <v>39050</v>
      </c>
      <c r="AM87" s="46" t="n">
        <v>39000</v>
      </c>
      <c r="AN87" s="46" t="n">
        <v>42000</v>
      </c>
      <c r="AO87" s="46" t="n">
        <v>46000</v>
      </c>
      <c r="AP87" s="46" t="n">
        <v>45750</v>
      </c>
      <c r="AQ87" s="46" t="n">
        <v>49000</v>
      </c>
      <c r="AR87" s="46" t="n">
        <v>53500</v>
      </c>
      <c r="AS87" s="46" t="n">
        <v>50500</v>
      </c>
      <c r="AT87" s="46" t="n">
        <v>50500</v>
      </c>
      <c r="AU87" s="46" t="n">
        <v>51200</v>
      </c>
      <c r="AV87" s="46" t="n">
        <v>44750</v>
      </c>
      <c r="AW87" s="46" t="n">
        <v>43150</v>
      </c>
      <c r="AX87" s="46" t="n">
        <v>42000</v>
      </c>
      <c r="AY87" s="46" t="n">
        <v>45500</v>
      </c>
      <c r="AZ87" s="46" t="n">
        <v>43900</v>
      </c>
      <c r="BA87" s="46" t="n">
        <v>45650</v>
      </c>
      <c r="BB87" s="46" t="n">
        <v>45950</v>
      </c>
      <c r="BC87" s="46" t="n">
        <v>44500</v>
      </c>
      <c r="BD87" s="46" t="n">
        <v>43450</v>
      </c>
      <c r="BE87" s="46" t="n">
        <v>43300</v>
      </c>
      <c r="BF87" s="46" t="n">
        <v>42400</v>
      </c>
      <c r="BG87" s="46" t="n">
        <v>41250</v>
      </c>
      <c r="BH87" s="46" t="n">
        <v>40850</v>
      </c>
      <c r="BI87" s="48">
        <f>MIN(E87:BH87)</f>
        <v/>
      </c>
      <c r="BJ87" s="48">
        <f>MAX(E87:BH87)</f>
        <v/>
      </c>
      <c r="BK87" s="48">
        <f>AVERAGE(E87:BH87)</f>
        <v/>
      </c>
    </row>
    <row r="88" ht="19" customHeight="1">
      <c r="A88" s="73" t="n">
        <v>87</v>
      </c>
      <c r="B88" s="44" t="inlineStr">
        <is>
          <t>KDC</t>
        </is>
      </c>
      <c r="C88" s="45" t="inlineStr">
        <is>
          <t>Bán Lẻ, Tiêu Dùng &amp; Thực Phẩm</t>
        </is>
      </c>
      <c r="D88" s="73" t="inlineStr">
        <is>
          <t>HOSE</t>
        </is>
      </c>
      <c r="E88" s="46" t="n">
        <v>56100</v>
      </c>
      <c r="F88" s="46" t="n">
        <v>55900</v>
      </c>
      <c r="G88" s="46" t="n">
        <v>55300</v>
      </c>
      <c r="H88" s="46" t="n">
        <v>54800</v>
      </c>
      <c r="I88" s="46" t="n">
        <v>54100</v>
      </c>
      <c r="J88" s="46" t="n">
        <v>53000</v>
      </c>
      <c r="K88" s="46" t="n">
        <v>56500</v>
      </c>
      <c r="L88" s="46" t="n">
        <v>57000</v>
      </c>
      <c r="M88" s="46" t="n">
        <v>56400</v>
      </c>
      <c r="N88" s="46" t="n">
        <v>55900</v>
      </c>
      <c r="O88" s="46" t="n">
        <v>56200</v>
      </c>
      <c r="P88" s="46" t="n">
        <v>55500</v>
      </c>
      <c r="Q88" s="46" t="n">
        <v>53900</v>
      </c>
      <c r="R88" s="46" t="n">
        <v>54700</v>
      </c>
      <c r="S88" s="46" t="n">
        <v>54700</v>
      </c>
      <c r="T88" s="46" t="n">
        <v>54000</v>
      </c>
      <c r="U88" s="46" t="n">
        <v>53800</v>
      </c>
      <c r="V88" s="46" t="n">
        <v>54700</v>
      </c>
      <c r="W88" s="46" t="n">
        <v>54100</v>
      </c>
      <c r="X88" s="46" t="n">
        <v>51800</v>
      </c>
      <c r="Y88" s="46" t="n">
        <v>52500</v>
      </c>
      <c r="Z88" s="46" t="n">
        <v>52400</v>
      </c>
      <c r="AA88" s="46" t="n">
        <v>52700</v>
      </c>
      <c r="AB88" s="46" t="n">
        <v>52100</v>
      </c>
      <c r="AC88" s="46" t="n">
        <v>52100</v>
      </c>
      <c r="AD88" s="46" t="n">
        <v>51800</v>
      </c>
      <c r="AE88" s="46" t="n">
        <v>52000</v>
      </c>
      <c r="AF88" s="46" t="n">
        <v>52700</v>
      </c>
      <c r="AG88" s="46" t="n">
        <v>52600</v>
      </c>
      <c r="AH88" s="46" t="n">
        <v>52000</v>
      </c>
      <c r="AI88" s="46" t="n">
        <v>52100</v>
      </c>
      <c r="AJ88" s="46" t="n">
        <v>51200</v>
      </c>
      <c r="AK88" s="46" t="n">
        <v>52800</v>
      </c>
      <c r="AL88" s="46" t="n">
        <v>52000</v>
      </c>
      <c r="AM88" s="46" t="n">
        <v>52000</v>
      </c>
      <c r="AN88" s="46" t="n">
        <v>51500</v>
      </c>
      <c r="AO88" s="46" t="n">
        <v>50300</v>
      </c>
      <c r="AP88" s="46" t="n">
        <v>50100</v>
      </c>
      <c r="AQ88" s="46" t="n">
        <v>50000</v>
      </c>
      <c r="AR88" s="46" t="n">
        <v>52100</v>
      </c>
      <c r="AS88" s="46" t="n">
        <v>52100</v>
      </c>
      <c r="AT88" s="46" t="n">
        <v>52100</v>
      </c>
      <c r="AU88" s="46" t="n">
        <v>51300</v>
      </c>
      <c r="AV88" s="46" t="n">
        <v>50300</v>
      </c>
      <c r="AW88" s="46" t="n">
        <v>51200</v>
      </c>
      <c r="AX88" s="46" t="n">
        <v>49950</v>
      </c>
      <c r="AY88" s="46" t="n">
        <v>49350</v>
      </c>
      <c r="AZ88" s="46" t="n">
        <v>48950</v>
      </c>
      <c r="BA88" s="46" t="n">
        <v>48800</v>
      </c>
      <c r="BB88" s="46" t="n">
        <v>48000</v>
      </c>
      <c r="BC88" s="46" t="n">
        <v>44700</v>
      </c>
      <c r="BD88" s="46" t="n">
        <v>43800</v>
      </c>
      <c r="BE88" s="46" t="n">
        <v>47900</v>
      </c>
      <c r="BF88" s="46" t="n">
        <v>48600</v>
      </c>
      <c r="BG88" s="46" t="n">
        <v>48400</v>
      </c>
      <c r="BH88" s="46" t="n">
        <v>50000</v>
      </c>
      <c r="BI88" s="48">
        <f>MIN(E88:BH88)</f>
        <v/>
      </c>
      <c r="BJ88" s="48">
        <f>MAX(E88:BH88)</f>
        <v/>
      </c>
      <c r="BK88" s="48">
        <f>AVERAGE(E88:BH88)</f>
        <v/>
      </c>
    </row>
    <row r="89" ht="19" customHeight="1">
      <c r="A89" s="73" t="n">
        <v>88</v>
      </c>
      <c r="B89" s="44" t="inlineStr">
        <is>
          <t>ANV</t>
        </is>
      </c>
      <c r="C89" s="45" t="inlineStr">
        <is>
          <t>Bán Lẻ, Tiêu Dùng &amp; Thực Phẩm</t>
        </is>
      </c>
      <c r="D89" s="73" t="inlineStr">
        <is>
          <t>HOSE</t>
        </is>
      </c>
      <c r="E89" s="46" t="n">
        <v>15600</v>
      </c>
      <c r="F89" s="46" t="n">
        <v>14700</v>
      </c>
      <c r="G89" s="46" t="n">
        <v>14800</v>
      </c>
      <c r="H89" s="46" t="n">
        <v>15850</v>
      </c>
      <c r="I89" s="46" t="n">
        <v>16400</v>
      </c>
      <c r="J89" s="46" t="n">
        <v>16300</v>
      </c>
      <c r="K89" s="46" t="n">
        <v>16350</v>
      </c>
      <c r="L89" s="46" t="n">
        <v>18850</v>
      </c>
      <c r="M89" s="46" t="n">
        <v>22600</v>
      </c>
      <c r="N89" s="46" t="n">
        <v>22200</v>
      </c>
      <c r="O89" s="46" t="n">
        <v>23000</v>
      </c>
      <c r="P89" s="46" t="n">
        <v>23300</v>
      </c>
      <c r="Q89" s="46" t="n">
        <v>23450</v>
      </c>
      <c r="R89" s="46" t="n">
        <v>27800</v>
      </c>
      <c r="S89" s="46" t="n">
        <v>26750</v>
      </c>
      <c r="T89" s="46" t="n">
        <v>26050</v>
      </c>
      <c r="U89" s="46" t="n">
        <v>28000</v>
      </c>
      <c r="V89" s="46" t="n">
        <v>27550</v>
      </c>
      <c r="W89" s="46" t="n">
        <v>28300</v>
      </c>
      <c r="X89" s="46" t="n">
        <v>27650</v>
      </c>
      <c r="Y89" s="46" t="n">
        <v>28150</v>
      </c>
      <c r="Z89" s="46" t="n">
        <v>28850</v>
      </c>
      <c r="AA89" s="46" t="n">
        <v>32700</v>
      </c>
      <c r="AB89" s="46" t="n">
        <v>30600</v>
      </c>
      <c r="AC89" s="46" t="n">
        <v>30300</v>
      </c>
      <c r="AD89" s="46" t="n">
        <v>30600</v>
      </c>
      <c r="AE89" s="46" t="n">
        <v>27200</v>
      </c>
      <c r="AF89" s="46" t="n">
        <v>28400</v>
      </c>
      <c r="AG89" s="46" t="n">
        <v>30400</v>
      </c>
      <c r="AH89" s="46" t="n">
        <v>29250</v>
      </c>
      <c r="AI89" s="46" t="n">
        <v>28350</v>
      </c>
      <c r="AJ89" s="46" t="n">
        <v>26700</v>
      </c>
      <c r="AK89" s="46" t="n">
        <v>27100</v>
      </c>
      <c r="AL89" s="46" t="n">
        <v>27000</v>
      </c>
      <c r="AM89" s="46" t="n">
        <v>25700</v>
      </c>
      <c r="AN89" s="46" t="n">
        <v>24950</v>
      </c>
      <c r="AO89" s="46" t="n">
        <v>26250</v>
      </c>
      <c r="AP89" s="46" t="n">
        <v>26900</v>
      </c>
      <c r="AQ89" s="46" t="n">
        <v>28550</v>
      </c>
      <c r="AR89" s="46" t="n">
        <v>27300</v>
      </c>
      <c r="AS89" s="46" t="n">
        <v>26500</v>
      </c>
      <c r="AT89" s="46" t="n">
        <v>26500</v>
      </c>
      <c r="AU89" s="46" t="n">
        <v>27050</v>
      </c>
      <c r="AV89" s="46" t="n">
        <v>24650</v>
      </c>
      <c r="AW89" s="46" t="n">
        <v>24000</v>
      </c>
      <c r="AX89" s="46" t="n">
        <v>23050</v>
      </c>
      <c r="AY89" s="46" t="n">
        <v>23450</v>
      </c>
      <c r="AZ89" s="46" t="n">
        <v>23600</v>
      </c>
      <c r="BA89" s="46" t="n">
        <v>24900</v>
      </c>
      <c r="BB89" s="46" t="n">
        <v>25000</v>
      </c>
      <c r="BC89" s="46" t="n">
        <v>24300</v>
      </c>
      <c r="BD89" s="46" t="n">
        <v>23900</v>
      </c>
      <c r="BE89" s="46" t="n">
        <v>23300</v>
      </c>
      <c r="BF89" s="46" t="n">
        <v>22800</v>
      </c>
      <c r="BG89" s="46" t="n">
        <v>22350</v>
      </c>
      <c r="BH89" s="46" t="n">
        <v>21700</v>
      </c>
      <c r="BI89" s="48">
        <f>MIN(E89:BH89)</f>
        <v/>
      </c>
      <c r="BJ89" s="48">
        <f>MAX(E89:BH89)</f>
        <v/>
      </c>
      <c r="BK89" s="48">
        <f>AVERAGE(E89:BH89)</f>
        <v/>
      </c>
    </row>
    <row r="90" ht="19" customHeight="1">
      <c r="A90" s="73" t="n">
        <v>89</v>
      </c>
      <c r="B90" s="44" t="inlineStr">
        <is>
          <t>FRT</t>
        </is>
      </c>
      <c r="C90" s="45" t="inlineStr">
        <is>
          <t>Bán Lẻ, Tiêu Dùng &amp; Thực Phẩm</t>
        </is>
      </c>
      <c r="D90" s="73" t="inlineStr">
        <is>
          <t>HOSE</t>
        </is>
      </c>
      <c r="E90" s="46" t="n">
        <v>129904.765625</v>
      </c>
      <c r="F90" s="46" t="n">
        <v>133333.328125</v>
      </c>
      <c r="G90" s="46" t="n">
        <v>125409.5234375</v>
      </c>
      <c r="H90" s="46" t="n">
        <v>127619.046875</v>
      </c>
      <c r="I90" s="46" t="n">
        <v>128000</v>
      </c>
      <c r="J90" s="46" t="n">
        <v>134095.234375</v>
      </c>
      <c r="K90" s="46" t="n">
        <v>132571.421875</v>
      </c>
      <c r="L90" s="46" t="n">
        <v>132952.375</v>
      </c>
      <c r="M90" s="46" t="n">
        <v>141714.28125</v>
      </c>
      <c r="N90" s="46" t="n">
        <v>139885.71875</v>
      </c>
      <c r="O90" s="46" t="n">
        <v>145142.859375</v>
      </c>
      <c r="P90" s="46" t="n">
        <v>149142.859375</v>
      </c>
      <c r="Q90" s="46" t="n">
        <v>147333.328125</v>
      </c>
      <c r="R90" s="46" t="n">
        <v>144761.90625</v>
      </c>
      <c r="S90" s="46" t="n">
        <v>136285.71875</v>
      </c>
      <c r="T90" s="46" t="n">
        <v>122380.953125</v>
      </c>
      <c r="U90" s="46" t="n">
        <v>125809.5234375</v>
      </c>
      <c r="V90" s="46" t="n">
        <v>123619.046875</v>
      </c>
      <c r="W90" s="46" t="n">
        <v>122761.90625</v>
      </c>
      <c r="X90" s="46" t="n">
        <v>126190.4765625</v>
      </c>
      <c r="Y90" s="46" t="n">
        <v>124952.3828125</v>
      </c>
      <c r="Z90" s="46" t="n">
        <v>118095.234375</v>
      </c>
      <c r="AA90" s="46" t="n">
        <v>130761.90625</v>
      </c>
      <c r="AB90" s="46" t="n">
        <v>132857.140625</v>
      </c>
      <c r="AC90" s="46" t="n">
        <v>135714.28125</v>
      </c>
      <c r="AD90" s="46" t="n">
        <v>141047.625</v>
      </c>
      <c r="AE90" s="46" t="n">
        <v>132857.140625</v>
      </c>
      <c r="AF90" s="46" t="n">
        <v>139047.625</v>
      </c>
      <c r="AG90" s="46" t="n">
        <v>135523.8125</v>
      </c>
      <c r="AH90" s="46" t="n">
        <v>140000</v>
      </c>
      <c r="AI90" s="46" t="n">
        <v>152380.953125</v>
      </c>
      <c r="AJ90" s="46" t="n">
        <v>133333.328125</v>
      </c>
      <c r="AK90" s="46" t="n">
        <v>137142.859375</v>
      </c>
      <c r="AL90" s="46" t="n">
        <v>137333.328125</v>
      </c>
      <c r="AM90" s="46" t="n">
        <v>142380.953125</v>
      </c>
      <c r="AN90" s="46" t="n">
        <v>136666.671875</v>
      </c>
      <c r="AO90" s="46" t="n">
        <v>147619.046875</v>
      </c>
      <c r="AP90" s="46" t="n">
        <v>144571.421875</v>
      </c>
      <c r="AQ90" s="46" t="n">
        <v>161809.53125</v>
      </c>
      <c r="AR90" s="46" t="n">
        <v>152761.90625</v>
      </c>
      <c r="AS90" s="46" t="n">
        <v>161904.765625</v>
      </c>
      <c r="AT90" s="46" t="n">
        <v>161904.765625</v>
      </c>
      <c r="AU90" s="46" t="n">
        <v>160952.375</v>
      </c>
      <c r="AV90" s="46" t="n">
        <v>143428.578125</v>
      </c>
      <c r="AW90" s="46" t="n">
        <v>142000</v>
      </c>
      <c r="AX90" s="46" t="n">
        <v>141523.8125</v>
      </c>
      <c r="AY90" s="46" t="n">
        <v>154761.90625</v>
      </c>
      <c r="AZ90" s="46" t="n">
        <v>144761.90625</v>
      </c>
      <c r="BA90" s="46" t="n">
        <v>144761.90625</v>
      </c>
      <c r="BB90" s="46" t="n">
        <v>144857.140625</v>
      </c>
      <c r="BC90" s="46" t="n">
        <v>137619.046875</v>
      </c>
      <c r="BD90" s="46" t="n">
        <v>141904.765625</v>
      </c>
      <c r="BE90" s="46" t="n">
        <v>138095.234375</v>
      </c>
      <c r="BF90" s="46" t="n">
        <v>127619.046875</v>
      </c>
      <c r="BG90" s="46" t="n">
        <v>123142.859375</v>
      </c>
      <c r="BH90" s="46" t="n">
        <v>124000</v>
      </c>
      <c r="BI90" s="48">
        <f>MIN(E90:BH90)</f>
        <v/>
      </c>
      <c r="BJ90" s="48">
        <f>MAX(E90:BH90)</f>
        <v/>
      </c>
      <c r="BK90" s="48">
        <f>AVERAGE(E90:BH90)</f>
        <v/>
      </c>
    </row>
    <row r="91" ht="19" customHeight="1">
      <c r="A91" s="73" t="n">
        <v>90</v>
      </c>
      <c r="B91" s="44" t="inlineStr">
        <is>
          <t>ASM</t>
        </is>
      </c>
      <c r="C91" s="45" t="inlineStr">
        <is>
          <t>Bán Lẻ, Tiêu Dùng &amp; Thực Phẩm</t>
        </is>
      </c>
      <c r="D91" s="73" t="inlineStr">
        <is>
          <t>HOSE</t>
        </is>
      </c>
      <c r="E91" s="46" t="n">
        <v>6218.181640625</v>
      </c>
      <c r="F91" s="46" t="n">
        <v>6554.54541015625</v>
      </c>
      <c r="G91" s="46" t="n">
        <v>6372.72705078125</v>
      </c>
      <c r="H91" s="46" t="n">
        <v>6745.45458984375</v>
      </c>
      <c r="I91" s="46" t="n">
        <v>6772.72705078125</v>
      </c>
      <c r="J91" s="46" t="n">
        <v>6481.818359375</v>
      </c>
      <c r="K91" s="46" t="n">
        <v>6427.27294921875</v>
      </c>
      <c r="L91" s="46" t="n">
        <v>6590.9091796875</v>
      </c>
      <c r="M91" s="46" t="n">
        <v>6772.72705078125</v>
      </c>
      <c r="N91" s="46" t="n">
        <v>7018.181640625</v>
      </c>
      <c r="O91" s="46" t="n">
        <v>7472.72705078125</v>
      </c>
      <c r="P91" s="46" t="n">
        <v>7581.818359375</v>
      </c>
      <c r="Q91" s="46" t="n">
        <v>7336.36376953125</v>
      </c>
      <c r="R91" s="46" t="n">
        <v>7927.27294921875</v>
      </c>
      <c r="S91" s="46" t="n">
        <v>8209.0908203125</v>
      </c>
      <c r="T91" s="46" t="n">
        <v>7545.45458984375</v>
      </c>
      <c r="U91" s="46" t="n">
        <v>7545.45458984375</v>
      </c>
      <c r="V91" s="46" t="n">
        <v>7609.0908203125</v>
      </c>
      <c r="W91" s="46" t="n">
        <v>7354.54541015625</v>
      </c>
      <c r="X91" s="46" t="n">
        <v>7590.9091796875</v>
      </c>
      <c r="Y91" s="46" t="n">
        <v>8181.818359375</v>
      </c>
      <c r="Z91" s="46" t="n">
        <v>7972.72705078125</v>
      </c>
      <c r="AA91" s="46" t="n">
        <v>7520</v>
      </c>
      <c r="AB91" s="46" t="n">
        <v>7090</v>
      </c>
      <c r="AC91" s="46" t="n">
        <v>6800</v>
      </c>
      <c r="AD91" s="46" t="n">
        <v>7050</v>
      </c>
      <c r="AE91" s="46" t="n">
        <v>6840</v>
      </c>
      <c r="AF91" s="46" t="n">
        <v>6890</v>
      </c>
      <c r="AG91" s="46" t="n">
        <v>7060</v>
      </c>
      <c r="AH91" s="46" t="n">
        <v>6960</v>
      </c>
      <c r="AI91" s="46" t="n">
        <v>6920</v>
      </c>
      <c r="AJ91" s="46" t="n">
        <v>6600</v>
      </c>
      <c r="AK91" s="46" t="n">
        <v>6580</v>
      </c>
      <c r="AL91" s="46" t="n">
        <v>6520</v>
      </c>
      <c r="AM91" s="46" t="n">
        <v>6440</v>
      </c>
      <c r="AN91" s="46" t="n">
        <v>6380</v>
      </c>
      <c r="AO91" s="46" t="n">
        <v>6430</v>
      </c>
      <c r="AP91" s="46" t="n">
        <v>6380</v>
      </c>
      <c r="AQ91" s="46" t="n">
        <v>6320</v>
      </c>
      <c r="AR91" s="46" t="n">
        <v>6100</v>
      </c>
      <c r="AS91" s="46" t="n">
        <v>6000</v>
      </c>
      <c r="AT91" s="46" t="n">
        <v>6000</v>
      </c>
      <c r="AU91" s="46" t="n">
        <v>6300</v>
      </c>
      <c r="AV91" s="46" t="n">
        <v>5900</v>
      </c>
      <c r="AW91" s="46" t="n">
        <v>5840</v>
      </c>
      <c r="AX91" s="46" t="n">
        <v>5620</v>
      </c>
      <c r="AY91" s="46" t="n">
        <v>5680</v>
      </c>
      <c r="AZ91" s="46" t="n">
        <v>5590</v>
      </c>
      <c r="BA91" s="46" t="n">
        <v>5900</v>
      </c>
      <c r="BB91" s="46" t="n">
        <v>5770</v>
      </c>
      <c r="BC91" s="46" t="n">
        <v>5600</v>
      </c>
      <c r="BD91" s="46" t="n">
        <v>5630</v>
      </c>
      <c r="BE91" s="46" t="n">
        <v>6060</v>
      </c>
      <c r="BF91" s="46" t="n">
        <v>6010</v>
      </c>
      <c r="BG91" s="46" t="n">
        <v>5850</v>
      </c>
      <c r="BH91" s="46" t="n">
        <v>5850</v>
      </c>
      <c r="BI91" s="48">
        <f>MIN(E91:BH91)</f>
        <v/>
      </c>
      <c r="BJ91" s="48">
        <f>MAX(E91:BH91)</f>
        <v/>
      </c>
      <c r="BK91" s="48">
        <f>AVERAGE(E91:BH91)</f>
        <v/>
      </c>
    </row>
    <row r="92" ht="19" customHeight="1">
      <c r="A92" s="73" t="n">
        <v>91</v>
      </c>
      <c r="B92" s="44" t="inlineStr">
        <is>
          <t>DBC</t>
        </is>
      </c>
      <c r="C92" s="45" t="inlineStr">
        <is>
          <t>Bán Lẻ, Tiêu Dùng &amp; Thực Phẩm</t>
        </is>
      </c>
      <c r="D92" s="73" t="inlineStr">
        <is>
          <t>HOSE</t>
        </is>
      </c>
      <c r="E92" s="46" t="n">
        <v>21428.572265625</v>
      </c>
      <c r="F92" s="46" t="n">
        <v>22554.34765625</v>
      </c>
      <c r="G92" s="46" t="n">
        <v>21428.572265625</v>
      </c>
      <c r="H92" s="46" t="n">
        <v>21894.41015625</v>
      </c>
      <c r="I92" s="46" t="n">
        <v>22826.087890625</v>
      </c>
      <c r="J92" s="46" t="n">
        <v>23757.763671875</v>
      </c>
      <c r="K92" s="46" t="n">
        <v>23253.10546875</v>
      </c>
      <c r="L92" s="46" t="n">
        <v>24767.080078125</v>
      </c>
      <c r="M92" s="46" t="n">
        <v>26630.435546875</v>
      </c>
      <c r="N92" s="46" t="n">
        <v>26048.13671875</v>
      </c>
      <c r="O92" s="46" t="n">
        <v>26397.515625</v>
      </c>
      <c r="P92" s="46" t="n">
        <v>26630.435546875</v>
      </c>
      <c r="Q92" s="46" t="n">
        <v>26086.95703125</v>
      </c>
      <c r="R92" s="46" t="n">
        <v>27008.927734375</v>
      </c>
      <c r="S92" s="46" t="n">
        <v>27901.78515625</v>
      </c>
      <c r="T92" s="46" t="n">
        <v>24508.927734375</v>
      </c>
      <c r="U92" s="46" t="n">
        <v>24642.857421875</v>
      </c>
      <c r="V92" s="46" t="n">
        <v>25000</v>
      </c>
      <c r="W92" s="46" t="n">
        <v>26250</v>
      </c>
      <c r="X92" s="46" t="n">
        <v>24910.71484375</v>
      </c>
      <c r="Y92" s="46" t="n">
        <v>24732.142578125</v>
      </c>
      <c r="Z92" s="46" t="n">
        <v>24062.5</v>
      </c>
      <c r="AA92" s="46" t="n">
        <v>24821.427734375</v>
      </c>
      <c r="AB92" s="46" t="n">
        <v>24107.142578125</v>
      </c>
      <c r="AC92" s="46" t="n">
        <v>22946.427734375</v>
      </c>
      <c r="AD92" s="46" t="n">
        <v>23571.427734375</v>
      </c>
      <c r="AE92" s="46" t="n">
        <v>22410.71484375</v>
      </c>
      <c r="AF92" s="46" t="n">
        <v>23348.21484375</v>
      </c>
      <c r="AG92" s="46" t="n">
        <v>24107.142578125</v>
      </c>
      <c r="AH92" s="46" t="n">
        <v>23794.642578125</v>
      </c>
      <c r="AI92" s="46" t="n">
        <v>24955.357421875</v>
      </c>
      <c r="AJ92" s="46" t="n">
        <v>23750</v>
      </c>
      <c r="AK92" s="46" t="n">
        <v>24910.71484375</v>
      </c>
      <c r="AL92" s="46" t="n">
        <v>24598.21484375</v>
      </c>
      <c r="AM92" s="46" t="n">
        <v>24151.78515625</v>
      </c>
      <c r="AN92" s="46" t="n">
        <v>23214.28515625</v>
      </c>
      <c r="AO92" s="46" t="n">
        <v>25000</v>
      </c>
      <c r="AP92" s="46" t="n">
        <v>25133.927734375</v>
      </c>
      <c r="AQ92" s="46" t="n">
        <v>25133.927734375</v>
      </c>
      <c r="AR92" s="46" t="n">
        <v>24241.072265625</v>
      </c>
      <c r="AS92" s="46" t="n">
        <v>23839.28515625</v>
      </c>
      <c r="AT92" s="46" t="n">
        <v>23839.28515625</v>
      </c>
      <c r="AU92" s="46" t="n">
        <v>23705.357421875</v>
      </c>
      <c r="AV92" s="46" t="n">
        <v>21964.28515625</v>
      </c>
      <c r="AW92" s="46" t="n">
        <v>20982.142578125</v>
      </c>
      <c r="AX92" s="46" t="n">
        <v>20758.927734375</v>
      </c>
      <c r="AY92" s="46" t="n">
        <v>20714.28515625</v>
      </c>
      <c r="AZ92" s="46" t="n">
        <v>20357.142578125</v>
      </c>
      <c r="BA92" s="46" t="n">
        <v>20758.927734375</v>
      </c>
      <c r="BB92" s="46" t="n">
        <v>20803.572265625</v>
      </c>
      <c r="BC92" s="46" t="n">
        <v>20401.78515625</v>
      </c>
      <c r="BD92" s="46" t="n">
        <v>20178.572265625</v>
      </c>
      <c r="BE92" s="46" t="n">
        <v>20089.28515625</v>
      </c>
      <c r="BF92" s="46" t="n">
        <v>20133.927734375</v>
      </c>
      <c r="BG92" s="46" t="n">
        <v>19375</v>
      </c>
      <c r="BH92" s="46" t="n">
        <v>19196.427734375</v>
      </c>
      <c r="BI92" s="48">
        <f>MIN(E92:BH92)</f>
        <v/>
      </c>
      <c r="BJ92" s="48">
        <f>MAX(E92:BH92)</f>
        <v/>
      </c>
      <c r="BK92" s="48">
        <f>AVERAGE(E92:BH92)</f>
        <v/>
      </c>
    </row>
    <row r="93" ht="19" customHeight="1">
      <c r="A93" s="73" t="n">
        <v>92</v>
      </c>
      <c r="B93" s="44" t="inlineStr">
        <is>
          <t>IDI</t>
        </is>
      </c>
      <c r="C93" s="45" t="inlineStr">
        <is>
          <t>Bán Lẻ, Tiêu Dùng &amp; Thực Phẩm</t>
        </is>
      </c>
      <c r="D93" s="73" t="inlineStr">
        <is>
          <t>HOSE</t>
        </is>
      </c>
      <c r="E93" s="46" t="n">
        <v>6140</v>
      </c>
      <c r="F93" s="46" t="n">
        <v>6300</v>
      </c>
      <c r="G93" s="46" t="n">
        <v>6120</v>
      </c>
      <c r="H93" s="46" t="n">
        <v>6570</v>
      </c>
      <c r="I93" s="46" t="n">
        <v>6700</v>
      </c>
      <c r="J93" s="46" t="n">
        <v>6310</v>
      </c>
      <c r="K93" s="46" t="n">
        <v>6280</v>
      </c>
      <c r="L93" s="46" t="n">
        <v>6680</v>
      </c>
      <c r="M93" s="46" t="n">
        <v>7060</v>
      </c>
      <c r="N93" s="46" t="n">
        <v>7140</v>
      </c>
      <c r="O93" s="46" t="n">
        <v>7430</v>
      </c>
      <c r="P93" s="46" t="n">
        <v>7400</v>
      </c>
      <c r="Q93" s="46" t="n">
        <v>7470</v>
      </c>
      <c r="R93" s="46" t="n">
        <v>8450</v>
      </c>
      <c r="S93" s="46" t="n">
        <v>9100</v>
      </c>
      <c r="T93" s="46" t="n">
        <v>8090</v>
      </c>
      <c r="U93" s="46" t="n">
        <v>8250</v>
      </c>
      <c r="V93" s="46" t="n">
        <v>8280</v>
      </c>
      <c r="W93" s="46" t="n">
        <v>8050</v>
      </c>
      <c r="X93" s="46" t="n">
        <v>8440</v>
      </c>
      <c r="Y93" s="46" t="n">
        <v>8490</v>
      </c>
      <c r="Z93" s="46" t="n">
        <v>8030</v>
      </c>
      <c r="AA93" s="46" t="n">
        <v>8110</v>
      </c>
      <c r="AB93" s="46" t="n">
        <v>7640</v>
      </c>
      <c r="AC93" s="46" t="n">
        <v>7140</v>
      </c>
      <c r="AD93" s="46" t="n">
        <v>7450</v>
      </c>
      <c r="AE93" s="46" t="n">
        <v>7090</v>
      </c>
      <c r="AF93" s="46" t="n">
        <v>7300</v>
      </c>
      <c r="AG93" s="46" t="n">
        <v>7360</v>
      </c>
      <c r="AH93" s="46" t="n">
        <v>7200</v>
      </c>
      <c r="AI93" s="46" t="n">
        <v>7260</v>
      </c>
      <c r="AJ93" s="46" t="n">
        <v>7000</v>
      </c>
      <c r="AK93" s="46" t="n">
        <v>6870</v>
      </c>
      <c r="AL93" s="46" t="n">
        <v>6860</v>
      </c>
      <c r="AM93" s="46" t="n">
        <v>6790</v>
      </c>
      <c r="AN93" s="46" t="n">
        <v>6420</v>
      </c>
      <c r="AO93" s="46" t="n">
        <v>6800</v>
      </c>
      <c r="AP93" s="46" t="n">
        <v>6780</v>
      </c>
      <c r="AQ93" s="46" t="n">
        <v>6840</v>
      </c>
      <c r="AR93" s="46" t="n">
        <v>6790</v>
      </c>
      <c r="AS93" s="46" t="n">
        <v>6840</v>
      </c>
      <c r="AT93" s="46" t="n">
        <v>6840</v>
      </c>
      <c r="AU93" s="46" t="n">
        <v>7230</v>
      </c>
      <c r="AV93" s="46" t="n">
        <v>7060</v>
      </c>
      <c r="AW93" s="46" t="n">
        <v>7390</v>
      </c>
      <c r="AX93" s="46" t="n">
        <v>6860</v>
      </c>
      <c r="AY93" s="46" t="n">
        <v>6900</v>
      </c>
      <c r="AZ93" s="46" t="n">
        <v>6610</v>
      </c>
      <c r="BA93" s="46" t="n">
        <v>6670</v>
      </c>
      <c r="BB93" s="46" t="n">
        <v>6650</v>
      </c>
      <c r="BC93" s="46" t="n">
        <v>6450</v>
      </c>
      <c r="BD93" s="46" t="n">
        <v>6390</v>
      </c>
      <c r="BE93" s="46" t="n">
        <v>6270</v>
      </c>
      <c r="BF93" s="46" t="n">
        <v>5910</v>
      </c>
      <c r="BG93" s="46" t="n">
        <v>5750</v>
      </c>
      <c r="BH93" s="46" t="n">
        <v>5710</v>
      </c>
      <c r="BI93" s="48">
        <f>MIN(E93:BH93)</f>
        <v/>
      </c>
      <c r="BJ93" s="48">
        <f>MAX(E93:BH93)</f>
        <v/>
      </c>
      <c r="BK93" s="48">
        <f>AVERAGE(E93:BH93)</f>
        <v/>
      </c>
    </row>
    <row r="94" ht="19" customHeight="1">
      <c r="A94" s="73" t="n">
        <v>93</v>
      </c>
      <c r="B94" s="44" t="inlineStr">
        <is>
          <t>TCM</t>
        </is>
      </c>
      <c r="C94" s="45" t="inlineStr">
        <is>
          <t>Bán Lẻ, Tiêu Dùng &amp; Thực Phẩm</t>
        </is>
      </c>
      <c r="D94" s="73" t="inlineStr">
        <is>
          <t>HOSE</t>
        </is>
      </c>
      <c r="E94" s="46" t="n">
        <v>26277.056640625</v>
      </c>
      <c r="F94" s="46" t="n">
        <v>27012.986328125</v>
      </c>
      <c r="G94" s="46" t="n">
        <v>26103.896484375</v>
      </c>
      <c r="H94" s="46" t="n">
        <v>29913.419921875</v>
      </c>
      <c r="I94" s="46" t="n">
        <v>28701.298828125</v>
      </c>
      <c r="J94" s="46" t="n">
        <v>28047.619140625</v>
      </c>
      <c r="K94" s="46" t="n">
        <v>27619.046875</v>
      </c>
      <c r="L94" s="46" t="n">
        <v>29428.572265625</v>
      </c>
      <c r="M94" s="46" t="n">
        <v>30476.19140625</v>
      </c>
      <c r="N94" s="46" t="n">
        <v>30142.857421875</v>
      </c>
      <c r="O94" s="46" t="n">
        <v>30285.71484375</v>
      </c>
      <c r="P94" s="46" t="n">
        <v>30666.666015625</v>
      </c>
      <c r="Q94" s="46" t="n">
        <v>31190.4765625</v>
      </c>
      <c r="R94" s="46" t="n">
        <v>31809.5234375</v>
      </c>
      <c r="S94" s="46" t="n">
        <v>30714.28515625</v>
      </c>
      <c r="T94" s="46" t="n">
        <v>28285.71484375</v>
      </c>
      <c r="U94" s="46" t="n">
        <v>28619.046875</v>
      </c>
      <c r="V94" s="46" t="n">
        <v>28952.380859375</v>
      </c>
      <c r="W94" s="46" t="n">
        <v>28571.427734375</v>
      </c>
      <c r="X94" s="46" t="n">
        <v>29619.046875</v>
      </c>
      <c r="Y94" s="46" t="n">
        <v>28952.380859375</v>
      </c>
      <c r="Z94" s="46" t="n">
        <v>28238.095703125</v>
      </c>
      <c r="AA94" s="46" t="n">
        <v>27952.380859375</v>
      </c>
      <c r="AB94" s="46" t="n">
        <v>27428.572265625</v>
      </c>
      <c r="AC94" s="46" t="n">
        <v>26619.046875</v>
      </c>
      <c r="AD94" s="46" t="n">
        <v>27142.857421875</v>
      </c>
      <c r="AE94" s="46" t="n">
        <v>26571.427734375</v>
      </c>
      <c r="AF94" s="46" t="n">
        <v>27523.80859375</v>
      </c>
      <c r="AG94" s="46" t="n">
        <v>27142.857421875</v>
      </c>
      <c r="AH94" s="46" t="n">
        <v>26857.142578125</v>
      </c>
      <c r="AI94" s="46" t="n">
        <v>26476.19140625</v>
      </c>
      <c r="AJ94" s="46" t="n">
        <v>25333.333984375</v>
      </c>
      <c r="AK94" s="46" t="n">
        <v>25476.19140625</v>
      </c>
      <c r="AL94" s="46" t="n">
        <v>25238.095703125</v>
      </c>
      <c r="AM94" s="46" t="n">
        <v>25333.333984375</v>
      </c>
      <c r="AN94" s="46" t="n">
        <v>25809.5234375</v>
      </c>
      <c r="AO94" s="46" t="n">
        <v>26571.427734375</v>
      </c>
      <c r="AP94" s="46" t="n">
        <v>25904.76171875</v>
      </c>
      <c r="AQ94" s="46" t="n">
        <v>25428.572265625</v>
      </c>
      <c r="AR94" s="46" t="n">
        <v>25238.095703125</v>
      </c>
      <c r="AS94" s="46" t="n">
        <v>25047.619140625</v>
      </c>
      <c r="AT94" s="46" t="n">
        <v>25047.619140625</v>
      </c>
      <c r="AU94" s="46" t="n">
        <v>25428.572265625</v>
      </c>
      <c r="AV94" s="46" t="n">
        <v>24285.71484375</v>
      </c>
      <c r="AW94" s="46" t="n">
        <v>22428.572265625</v>
      </c>
      <c r="AX94" s="46" t="n">
        <v>22238.095703125</v>
      </c>
      <c r="AY94" s="46" t="n">
        <v>22142.857421875</v>
      </c>
      <c r="AZ94" s="46" t="n">
        <v>21476.19140625</v>
      </c>
      <c r="BA94" s="46" t="n">
        <v>21571.427734375</v>
      </c>
      <c r="BB94" s="46" t="n">
        <v>22476.19140625</v>
      </c>
      <c r="BC94" s="46" t="n">
        <v>21857.142578125</v>
      </c>
      <c r="BD94" s="46" t="n">
        <v>21857.142578125</v>
      </c>
      <c r="BE94" s="46" t="n">
        <v>21809.5234375</v>
      </c>
      <c r="BF94" s="46" t="n">
        <v>21952.380859375</v>
      </c>
      <c r="BG94" s="46" t="n">
        <v>21809.5234375</v>
      </c>
      <c r="BH94" s="46" t="n">
        <v>20850</v>
      </c>
      <c r="BI94" s="48">
        <f>MIN(E94:BH94)</f>
        <v/>
      </c>
      <c r="BJ94" s="48">
        <f>MAX(E94:BH94)</f>
        <v/>
      </c>
      <c r="BK94" s="48">
        <f>AVERAGE(E94:BH94)</f>
        <v/>
      </c>
    </row>
    <row r="95" ht="19" customHeight="1">
      <c r="A95" s="74" t="n">
        <v>94</v>
      </c>
      <c r="B95" s="50" t="inlineStr">
        <is>
          <t>NT2</t>
        </is>
      </c>
      <c r="C95" s="51" t="inlineStr">
        <is>
          <t>Công Nghệ, Năng Lượng &amp; Tiện Ích</t>
        </is>
      </c>
      <c r="D95" s="74" t="inlineStr">
        <is>
          <t>HOSE</t>
        </is>
      </c>
      <c r="E95" s="52" t="n">
        <v>18700</v>
      </c>
      <c r="F95" s="52" t="n">
        <v>18400</v>
      </c>
      <c r="G95" s="52" t="n">
        <v>18400</v>
      </c>
      <c r="H95" s="52" t="n">
        <v>18500</v>
      </c>
      <c r="I95" s="52" t="n">
        <v>18550</v>
      </c>
      <c r="J95" s="52" t="n">
        <v>18100</v>
      </c>
      <c r="K95" s="52" t="n">
        <v>18300</v>
      </c>
      <c r="L95" s="52" t="n">
        <v>19200</v>
      </c>
      <c r="M95" s="52" t="n">
        <v>19000</v>
      </c>
      <c r="N95" s="52" t="n">
        <v>19700</v>
      </c>
      <c r="O95" s="52" t="n">
        <v>19800</v>
      </c>
      <c r="P95" s="52" t="n">
        <v>20600</v>
      </c>
      <c r="Q95" s="52" t="n">
        <v>20200</v>
      </c>
      <c r="R95" s="52" t="n">
        <v>21900</v>
      </c>
      <c r="S95" s="52" t="n">
        <v>21800</v>
      </c>
      <c r="T95" s="52" t="n">
        <v>21400</v>
      </c>
      <c r="U95" s="52" t="n">
        <v>22200</v>
      </c>
      <c r="V95" s="52" t="n">
        <v>22650</v>
      </c>
      <c r="W95" s="52" t="n">
        <v>21600</v>
      </c>
      <c r="X95" s="52" t="n">
        <v>22750</v>
      </c>
      <c r="Y95" s="52" t="n">
        <v>24400</v>
      </c>
      <c r="Z95" s="52" t="n">
        <v>23600</v>
      </c>
      <c r="AA95" s="52" t="n">
        <v>23300</v>
      </c>
      <c r="AB95" s="52" t="n">
        <v>22750</v>
      </c>
      <c r="AC95" s="52" t="n">
        <v>22750</v>
      </c>
      <c r="AD95" s="52" t="n">
        <v>25200</v>
      </c>
      <c r="AE95" s="52" t="n">
        <v>23050</v>
      </c>
      <c r="AF95" s="52" t="n">
        <v>24250</v>
      </c>
      <c r="AG95" s="52" t="n">
        <v>23900</v>
      </c>
      <c r="AH95" s="52" t="n">
        <v>23300</v>
      </c>
      <c r="AI95" s="52" t="n">
        <v>23850</v>
      </c>
      <c r="AJ95" s="52" t="n">
        <v>22550</v>
      </c>
      <c r="AK95" s="52" t="n">
        <v>24200</v>
      </c>
      <c r="AL95" s="52" t="n">
        <v>24150</v>
      </c>
      <c r="AM95" s="52" t="n">
        <v>24350</v>
      </c>
      <c r="AN95" s="52" t="n">
        <v>24400</v>
      </c>
      <c r="AO95" s="52" t="n">
        <v>25950</v>
      </c>
      <c r="AP95" s="52" t="n">
        <v>26050</v>
      </c>
      <c r="AQ95" s="52" t="n">
        <v>26300</v>
      </c>
      <c r="AR95" s="52" t="n">
        <v>26750</v>
      </c>
      <c r="AS95" s="52" t="n">
        <v>27250</v>
      </c>
      <c r="AT95" s="52" t="n">
        <v>27250</v>
      </c>
      <c r="AU95" s="52" t="n">
        <v>27750</v>
      </c>
      <c r="AV95" s="52" t="n">
        <v>27650</v>
      </c>
      <c r="AW95" s="52" t="n">
        <v>26650</v>
      </c>
      <c r="AX95" s="52" t="n">
        <v>25950</v>
      </c>
      <c r="AY95" s="52" t="n">
        <v>27900</v>
      </c>
      <c r="AZ95" s="52" t="n">
        <v>26000</v>
      </c>
      <c r="BA95" s="52" t="n">
        <v>26200</v>
      </c>
      <c r="BB95" s="52" t="n">
        <v>26000</v>
      </c>
      <c r="BC95" s="52" t="n">
        <v>24800</v>
      </c>
      <c r="BD95" s="52" t="n">
        <v>24200</v>
      </c>
      <c r="BE95" s="52" t="n">
        <v>23000</v>
      </c>
      <c r="BF95" s="52" t="n">
        <v>23200</v>
      </c>
      <c r="BG95" s="52" t="n">
        <v>22750</v>
      </c>
      <c r="BH95" s="52" t="n">
        <v>23000</v>
      </c>
      <c r="BI95" s="54">
        <f>MIN(E95:BH95)</f>
        <v/>
      </c>
      <c r="BJ95" s="54">
        <f>MAX(E95:BH95)</f>
        <v/>
      </c>
      <c r="BK95" s="54">
        <f>AVERAGE(E95:BH95)</f>
        <v/>
      </c>
    </row>
    <row r="96" ht="19" customHeight="1">
      <c r="A96" s="74" t="n">
        <v>95</v>
      </c>
      <c r="B96" s="50" t="inlineStr">
        <is>
          <t>CTR</t>
        </is>
      </c>
      <c r="C96" s="51" t="inlineStr">
        <is>
          <t>Công Nghệ, Năng Lượng &amp; Tiện Ích</t>
        </is>
      </c>
      <c r="D96" s="74" t="inlineStr">
        <is>
          <t>HOSE</t>
        </is>
      </c>
      <c r="E96" s="52" t="n">
        <v>79732.140625</v>
      </c>
      <c r="F96" s="52" t="n">
        <v>85714.2890625</v>
      </c>
      <c r="G96" s="52" t="n">
        <v>80982.140625</v>
      </c>
      <c r="H96" s="52" t="n">
        <v>83392.859375</v>
      </c>
      <c r="I96" s="52" t="n">
        <v>81339.2890625</v>
      </c>
      <c r="J96" s="52" t="n">
        <v>85714.2890625</v>
      </c>
      <c r="K96" s="52" t="n">
        <v>88839.2890625</v>
      </c>
      <c r="L96" s="52" t="n">
        <v>87410.7109375</v>
      </c>
      <c r="M96" s="52" t="n">
        <v>89732.140625</v>
      </c>
      <c r="N96" s="52" t="n">
        <v>91428.5703125</v>
      </c>
      <c r="O96" s="52" t="n">
        <v>90892.859375</v>
      </c>
      <c r="P96" s="52" t="n">
        <v>87857.140625</v>
      </c>
      <c r="Q96" s="52" t="n">
        <v>80625</v>
      </c>
      <c r="R96" s="52" t="n">
        <v>82767.859375</v>
      </c>
      <c r="S96" s="52" t="n">
        <v>83482.140625</v>
      </c>
      <c r="T96" s="52" t="n">
        <v>80000</v>
      </c>
      <c r="U96" s="52" t="n">
        <v>78750</v>
      </c>
      <c r="V96" s="52" t="n">
        <v>81964.2890625</v>
      </c>
      <c r="W96" s="52" t="n">
        <v>78035.7109375</v>
      </c>
      <c r="X96" s="52" t="n">
        <v>81250</v>
      </c>
      <c r="Y96" s="52" t="n">
        <v>80803.5703125</v>
      </c>
      <c r="Z96" s="52" t="n">
        <v>74910.7109375</v>
      </c>
      <c r="AA96" s="52" t="n">
        <v>74017.859375</v>
      </c>
      <c r="AB96" s="52" t="n">
        <v>72678.5703125</v>
      </c>
      <c r="AC96" s="52" t="n">
        <v>75892.859375</v>
      </c>
      <c r="AD96" s="52" t="n">
        <v>83928.5703125</v>
      </c>
      <c r="AE96" s="52" t="n">
        <v>79732.140625</v>
      </c>
      <c r="AF96" s="52" t="n">
        <v>82678.5703125</v>
      </c>
      <c r="AG96" s="52" t="n">
        <v>80625</v>
      </c>
      <c r="AH96" s="52" t="n">
        <v>77142.859375</v>
      </c>
      <c r="AI96" s="52" t="n">
        <v>77232.140625</v>
      </c>
      <c r="AJ96" s="52" t="n">
        <v>73928.5703125</v>
      </c>
      <c r="AK96" s="52" t="n">
        <v>74732.140625</v>
      </c>
      <c r="AL96" s="52" t="n">
        <v>75000</v>
      </c>
      <c r="AM96" s="52" t="n">
        <v>76160.7109375</v>
      </c>
      <c r="AN96" s="52" t="n">
        <v>85625</v>
      </c>
      <c r="AO96" s="52" t="n">
        <v>91607.140625</v>
      </c>
      <c r="AP96" s="52" t="n">
        <v>85714.2890625</v>
      </c>
      <c r="AQ96" s="52" t="n">
        <v>86339.2890625</v>
      </c>
      <c r="AR96" s="52" t="n">
        <v>83928.5703125</v>
      </c>
      <c r="AS96" s="52" t="n">
        <v>82946.4296875</v>
      </c>
      <c r="AT96" s="52" t="n">
        <v>82946.4296875</v>
      </c>
      <c r="AU96" s="52" t="n">
        <v>85089.2890625</v>
      </c>
      <c r="AV96" s="52" t="n">
        <v>75446.4296875</v>
      </c>
      <c r="AW96" s="52" t="n">
        <v>72767.859375</v>
      </c>
      <c r="AX96" s="52" t="n">
        <v>71428.5703125</v>
      </c>
      <c r="AY96" s="52" t="n">
        <v>76428.5703125</v>
      </c>
      <c r="AZ96" s="52" t="n">
        <v>75803.5703125</v>
      </c>
      <c r="BA96" s="52" t="n">
        <v>76428.5703125</v>
      </c>
      <c r="BB96" s="52" t="n">
        <v>77857.140625</v>
      </c>
      <c r="BC96" s="52" t="n">
        <v>77857.140625</v>
      </c>
      <c r="BD96" s="52" t="n">
        <v>76696.4296875</v>
      </c>
      <c r="BE96" s="52" t="n">
        <v>74464.2890625</v>
      </c>
      <c r="BF96" s="52" t="n">
        <v>75803.5703125</v>
      </c>
      <c r="BG96" s="52" t="n">
        <v>83035.7109375</v>
      </c>
      <c r="BH96" s="52" t="n">
        <v>79017.859375</v>
      </c>
      <c r="BI96" s="54">
        <f>MIN(E96:BH96)</f>
        <v/>
      </c>
      <c r="BJ96" s="54">
        <f>MAX(E96:BH96)</f>
        <v/>
      </c>
      <c r="BK96" s="54">
        <f>AVERAGE(E96:BH96)</f>
        <v/>
      </c>
    </row>
    <row r="97" ht="19" customHeight="1">
      <c r="A97" s="74" t="n">
        <v>96</v>
      </c>
      <c r="B97" s="50" t="inlineStr">
        <is>
          <t>REE</t>
        </is>
      </c>
      <c r="C97" s="51" t="inlineStr">
        <is>
          <t>Công Nghệ, Năng Lượng &amp; Tiện Ích</t>
        </is>
      </c>
      <c r="D97" s="74" t="inlineStr">
        <is>
          <t>HOSE</t>
        </is>
      </c>
      <c r="E97" s="52" t="n">
        <v>52703.21484375</v>
      </c>
      <c r="F97" s="52" t="n">
        <v>53686.19921875</v>
      </c>
      <c r="G97" s="52" t="n">
        <v>53383.7421875</v>
      </c>
      <c r="H97" s="52" t="n">
        <v>53988.65625</v>
      </c>
      <c r="I97" s="52" t="n">
        <v>58449.90625</v>
      </c>
      <c r="J97" s="52" t="n">
        <v>58695.65234375</v>
      </c>
      <c r="K97" s="52" t="n">
        <v>60000</v>
      </c>
      <c r="L97" s="52" t="n">
        <v>58695.65234375</v>
      </c>
      <c r="M97" s="52" t="n">
        <v>58173.9140625</v>
      </c>
      <c r="N97" s="52" t="n">
        <v>58695.65234375</v>
      </c>
      <c r="O97" s="52" t="n">
        <v>59130.43359375</v>
      </c>
      <c r="P97" s="52" t="n">
        <v>60347.82421875</v>
      </c>
      <c r="Q97" s="52" t="n">
        <v>58086.95703125</v>
      </c>
      <c r="R97" s="52" t="n">
        <v>58173.9140625</v>
      </c>
      <c r="S97" s="52" t="n">
        <v>59478.26171875</v>
      </c>
      <c r="T97" s="52" t="n">
        <v>57478.26171875</v>
      </c>
      <c r="U97" s="52" t="n">
        <v>57043.4765625</v>
      </c>
      <c r="V97" s="52" t="n">
        <v>56869.56640625</v>
      </c>
      <c r="W97" s="52" t="n">
        <v>57739.12890625</v>
      </c>
      <c r="X97" s="52" t="n">
        <v>58000</v>
      </c>
      <c r="Y97" s="52" t="n">
        <v>58782.609375</v>
      </c>
      <c r="Z97" s="52" t="n">
        <v>56695.65234375</v>
      </c>
      <c r="AA97" s="52" t="n">
        <v>56173.9140625</v>
      </c>
      <c r="AB97" s="52" t="n">
        <v>55478.26171875</v>
      </c>
      <c r="AC97" s="52" t="n">
        <v>54000</v>
      </c>
      <c r="AD97" s="52" t="n">
        <v>56608.6953125</v>
      </c>
      <c r="AE97" s="52" t="n">
        <v>56173.9140625</v>
      </c>
      <c r="AF97" s="52" t="n">
        <v>57739.12890625</v>
      </c>
      <c r="AG97" s="52" t="n">
        <v>58260.87109375</v>
      </c>
      <c r="AH97" s="52" t="n">
        <v>56695.65234375</v>
      </c>
      <c r="AI97" s="52" t="n">
        <v>55826.0859375</v>
      </c>
      <c r="AJ97" s="52" t="n">
        <v>54173.9140625</v>
      </c>
      <c r="AK97" s="52" t="n">
        <v>53826.0859375</v>
      </c>
      <c r="AL97" s="52" t="n">
        <v>53304.34765625</v>
      </c>
      <c r="AM97" s="52" t="n">
        <v>53043.4765625</v>
      </c>
      <c r="AN97" s="52" t="n">
        <v>53043.4765625</v>
      </c>
      <c r="AO97" s="52" t="n">
        <v>55391.3046875</v>
      </c>
      <c r="AP97" s="52" t="n">
        <v>54608.6953125</v>
      </c>
      <c r="AQ97" s="52" t="n">
        <v>54000</v>
      </c>
      <c r="AR97" s="52" t="n">
        <v>53304.34765625</v>
      </c>
      <c r="AS97" s="52" t="n">
        <v>53565.21875</v>
      </c>
      <c r="AT97" s="52" t="n">
        <v>53565.21875</v>
      </c>
      <c r="AU97" s="52" t="n">
        <v>53739.12890625</v>
      </c>
      <c r="AV97" s="52" t="n">
        <v>53913.04296875</v>
      </c>
      <c r="AW97" s="52" t="n">
        <v>55478.26171875</v>
      </c>
      <c r="AX97" s="52" t="n">
        <v>58608.6953125</v>
      </c>
      <c r="AY97" s="52" t="n">
        <v>62347.82421875</v>
      </c>
      <c r="AZ97" s="52" t="n">
        <v>56000</v>
      </c>
      <c r="BA97" s="52" t="n">
        <v>57217.390625</v>
      </c>
      <c r="BB97" s="52" t="n">
        <v>56000</v>
      </c>
      <c r="BC97" s="52" t="n">
        <v>54173.9140625</v>
      </c>
      <c r="BD97" s="52" t="n">
        <v>52434.78125</v>
      </c>
      <c r="BE97" s="52" t="n">
        <v>53043.4765625</v>
      </c>
      <c r="BF97" s="52" t="n">
        <v>52434.78125</v>
      </c>
      <c r="BG97" s="52" t="n">
        <v>52600</v>
      </c>
      <c r="BH97" s="52" t="n">
        <v>52700</v>
      </c>
      <c r="BI97" s="54">
        <f>MIN(E97:BH97)</f>
        <v/>
      </c>
      <c r="BJ97" s="54">
        <f>MAX(E97:BH97)</f>
        <v/>
      </c>
      <c r="BK97" s="54">
        <f>AVERAGE(E97:BH97)</f>
        <v/>
      </c>
    </row>
    <row r="98" ht="19" customHeight="1">
      <c r="A98" s="74" t="n">
        <v>97</v>
      </c>
      <c r="B98" s="50" t="inlineStr">
        <is>
          <t>GEG</t>
        </is>
      </c>
      <c r="C98" s="51" t="inlineStr">
        <is>
          <t>Công Nghệ, Năng Lượng &amp; Tiện Ích</t>
        </is>
      </c>
      <c r="D98" s="74" t="inlineStr">
        <is>
          <t>HOSE</t>
        </is>
      </c>
      <c r="E98" s="52" t="n">
        <v>14761.904296875</v>
      </c>
      <c r="F98" s="52" t="n">
        <v>14714.2861328125</v>
      </c>
      <c r="G98" s="52" t="n">
        <v>15047.619140625</v>
      </c>
      <c r="H98" s="52" t="n">
        <v>14857.142578125</v>
      </c>
      <c r="I98" s="52" t="n">
        <v>16000</v>
      </c>
      <c r="J98" s="52" t="n">
        <v>15333.3330078125</v>
      </c>
      <c r="K98" s="52" t="n">
        <v>15523.8095703125</v>
      </c>
      <c r="L98" s="52" t="n">
        <v>15476.1904296875</v>
      </c>
      <c r="M98" s="52" t="n">
        <v>15095.23828125</v>
      </c>
      <c r="N98" s="52" t="n">
        <v>15619.0478515625</v>
      </c>
      <c r="O98" s="52" t="n">
        <v>15904.76171875</v>
      </c>
      <c r="P98" s="52" t="n">
        <v>16428.572265625</v>
      </c>
      <c r="Q98" s="52" t="n">
        <v>15714.2861328125</v>
      </c>
      <c r="R98" s="52" t="n">
        <v>16476.19140625</v>
      </c>
      <c r="S98" s="52" t="n">
        <v>16476.19140625</v>
      </c>
      <c r="T98" s="52" t="n">
        <v>14904.76171875</v>
      </c>
      <c r="U98" s="52" t="n">
        <v>15047.619140625</v>
      </c>
      <c r="V98" s="52" t="n">
        <v>15285.7138671875</v>
      </c>
      <c r="W98" s="52" t="n">
        <v>15000</v>
      </c>
      <c r="X98" s="52" t="n">
        <v>15619.0478515625</v>
      </c>
      <c r="Y98" s="52" t="n">
        <v>15523.8095703125</v>
      </c>
      <c r="Z98" s="52" t="n">
        <v>15333.3330078125</v>
      </c>
      <c r="AA98" s="52" t="n">
        <v>15095.23828125</v>
      </c>
      <c r="AB98" s="52" t="n">
        <v>14952.380859375</v>
      </c>
      <c r="AC98" s="52" t="n">
        <v>14476.1904296875</v>
      </c>
      <c r="AD98" s="52" t="n">
        <v>15190.4765625</v>
      </c>
      <c r="AE98" s="52" t="n">
        <v>14285.7138671875</v>
      </c>
      <c r="AF98" s="52" t="n">
        <v>14380.9521484375</v>
      </c>
      <c r="AG98" s="52" t="n">
        <v>14142.857421875</v>
      </c>
      <c r="AH98" s="52" t="n">
        <v>13619.0478515625</v>
      </c>
      <c r="AI98" s="52" t="n">
        <v>13666.6669921875</v>
      </c>
      <c r="AJ98" s="52" t="n">
        <v>13285.7138671875</v>
      </c>
      <c r="AK98" s="52" t="n">
        <v>13523.8095703125</v>
      </c>
      <c r="AL98" s="52" t="n">
        <v>14000</v>
      </c>
      <c r="AM98" s="52" t="n">
        <v>14666.6669921875</v>
      </c>
      <c r="AN98" s="52" t="n">
        <v>13809.5234375</v>
      </c>
      <c r="AO98" s="52" t="n">
        <v>14333.3330078125</v>
      </c>
      <c r="AP98" s="52" t="n">
        <v>14285.7138671875</v>
      </c>
      <c r="AQ98" s="52" t="n">
        <v>14047.619140625</v>
      </c>
      <c r="AR98" s="52" t="n">
        <v>13904.76171875</v>
      </c>
      <c r="AS98" s="52" t="n">
        <v>13857.142578125</v>
      </c>
      <c r="AT98" s="52" t="n">
        <v>13857.142578125</v>
      </c>
      <c r="AU98" s="52" t="n">
        <v>14142.857421875</v>
      </c>
      <c r="AV98" s="52" t="n">
        <v>14619.0478515625</v>
      </c>
      <c r="AW98" s="52" t="n">
        <v>15952.380859375</v>
      </c>
      <c r="AX98" s="52" t="n">
        <v>15809.5234375</v>
      </c>
      <c r="AY98" s="52" t="n">
        <v>16142.857421875</v>
      </c>
      <c r="AZ98" s="52" t="n">
        <v>15095.23828125</v>
      </c>
      <c r="BA98" s="52" t="n">
        <v>14476.1904296875</v>
      </c>
      <c r="BB98" s="52" t="n">
        <v>14571.4287109375</v>
      </c>
      <c r="BC98" s="52" t="n">
        <v>13904.76171875</v>
      </c>
      <c r="BD98" s="52" t="n">
        <v>13619.0478515625</v>
      </c>
      <c r="BE98" s="52" t="n">
        <v>13619.0478515625</v>
      </c>
      <c r="BF98" s="52" t="n">
        <v>13476.1904296875</v>
      </c>
      <c r="BG98" s="52" t="n">
        <v>13428.5712890625</v>
      </c>
      <c r="BH98" s="52" t="n">
        <v>13380.9521484375</v>
      </c>
      <c r="BI98" s="54">
        <f>MIN(E98:BH98)</f>
        <v/>
      </c>
      <c r="BJ98" s="54">
        <f>MAX(E98:BH98)</f>
        <v/>
      </c>
      <c r="BK98" s="54">
        <f>AVERAGE(E98:BH98)</f>
        <v/>
      </c>
    </row>
    <row r="99" ht="19" customHeight="1">
      <c r="A99" s="74" t="n">
        <v>98</v>
      </c>
      <c r="B99" s="50" t="inlineStr">
        <is>
          <t>CMG</t>
        </is>
      </c>
      <c r="C99" s="51" t="inlineStr">
        <is>
          <t>Công Nghệ, Năng Lượng &amp; Tiện Ích</t>
        </is>
      </c>
      <c r="D99" s="74" t="inlineStr">
        <is>
          <t>HOSE</t>
        </is>
      </c>
      <c r="E99" s="52" t="n">
        <v>30681.818359375</v>
      </c>
      <c r="F99" s="52" t="n">
        <v>32909.08984375</v>
      </c>
      <c r="G99" s="52" t="n">
        <v>30181.818359375</v>
      </c>
      <c r="H99" s="52" t="n">
        <v>31181.818359375</v>
      </c>
      <c r="I99" s="52" t="n">
        <v>32136.36328125</v>
      </c>
      <c r="J99" s="52" t="n">
        <v>32272.7265625</v>
      </c>
      <c r="K99" s="52" t="n">
        <v>32909.08984375</v>
      </c>
      <c r="L99" s="52" t="n">
        <v>33181.81640625</v>
      </c>
      <c r="M99" s="52" t="n">
        <v>37090.91015625</v>
      </c>
      <c r="N99" s="52" t="n">
        <v>39090.91015625</v>
      </c>
      <c r="O99" s="52" t="n">
        <v>37863.63671875</v>
      </c>
      <c r="P99" s="52" t="n">
        <v>39227.2734375</v>
      </c>
      <c r="Q99" s="52" t="n">
        <v>36909.08984375</v>
      </c>
      <c r="R99" s="52" t="n">
        <v>37000</v>
      </c>
      <c r="S99" s="52" t="n">
        <v>41772.7265625</v>
      </c>
      <c r="T99" s="52" t="n">
        <v>37909.08984375</v>
      </c>
      <c r="U99" s="52" t="n">
        <v>37181.81640625</v>
      </c>
      <c r="V99" s="52" t="n">
        <v>38045.453125</v>
      </c>
      <c r="W99" s="52" t="n">
        <v>36272.7265625</v>
      </c>
      <c r="X99" s="52" t="n">
        <v>37727.2734375</v>
      </c>
      <c r="Y99" s="52" t="n">
        <v>36272.7265625</v>
      </c>
      <c r="Z99" s="52" t="n">
        <v>36000</v>
      </c>
      <c r="AA99" s="52" t="n">
        <v>36000</v>
      </c>
      <c r="AB99" s="52" t="n">
        <v>34545.453125</v>
      </c>
      <c r="AC99" s="52" t="n">
        <v>34181.81640625</v>
      </c>
      <c r="AD99" s="52" t="n">
        <v>37545.453125</v>
      </c>
      <c r="AE99" s="52" t="n">
        <v>35318.18359375</v>
      </c>
      <c r="AF99" s="52" t="n">
        <v>34636.36328125</v>
      </c>
      <c r="AG99" s="52" t="n">
        <v>34545.453125</v>
      </c>
      <c r="AH99" s="52" t="n">
        <v>34000</v>
      </c>
      <c r="AI99" s="52" t="n">
        <v>33363.63671875</v>
      </c>
      <c r="AJ99" s="52" t="n">
        <v>32545.455078125</v>
      </c>
      <c r="AK99" s="52" t="n">
        <v>32000</v>
      </c>
      <c r="AL99" s="52" t="n">
        <v>31727.2734375</v>
      </c>
      <c r="AM99" s="52" t="n">
        <v>32363.63671875</v>
      </c>
      <c r="AN99" s="52" t="n">
        <v>33681.81640625</v>
      </c>
      <c r="AO99" s="52" t="n">
        <v>37900</v>
      </c>
      <c r="AP99" s="52" t="n">
        <v>36000</v>
      </c>
      <c r="AQ99" s="52" t="n">
        <v>35800</v>
      </c>
      <c r="AR99" s="52" t="n">
        <v>34750</v>
      </c>
      <c r="AS99" s="52" t="n">
        <v>34100</v>
      </c>
      <c r="AT99" s="52" t="n">
        <v>34100</v>
      </c>
      <c r="AU99" s="52" t="n">
        <v>34800</v>
      </c>
      <c r="AV99" s="52" t="n">
        <v>31400</v>
      </c>
      <c r="AW99" s="52" t="n">
        <v>29400</v>
      </c>
      <c r="AX99" s="52" t="n">
        <v>29600</v>
      </c>
      <c r="AY99" s="52" t="n">
        <v>29150</v>
      </c>
      <c r="AZ99" s="52" t="n">
        <v>28450</v>
      </c>
      <c r="BA99" s="52" t="n">
        <v>28900</v>
      </c>
      <c r="BB99" s="52" t="n">
        <v>28750</v>
      </c>
      <c r="BC99" s="52" t="n">
        <v>27800</v>
      </c>
      <c r="BD99" s="52" t="n">
        <v>27800</v>
      </c>
      <c r="BE99" s="52" t="n">
        <v>27750</v>
      </c>
      <c r="BF99" s="52" t="n">
        <v>27700</v>
      </c>
      <c r="BG99" s="52" t="n">
        <v>28150</v>
      </c>
      <c r="BH99" s="52" t="n">
        <v>27000</v>
      </c>
      <c r="BI99" s="54">
        <f>MIN(E99:BH99)</f>
        <v/>
      </c>
      <c r="BJ99" s="54">
        <f>MAX(E99:BH99)</f>
        <v/>
      </c>
      <c r="BK99" s="54">
        <f>AVERAGE(E99:BH99)</f>
        <v/>
      </c>
    </row>
    <row r="100" ht="19" customHeight="1">
      <c r="A100" s="74" t="n">
        <v>99</v>
      </c>
      <c r="B100" s="50" t="inlineStr">
        <is>
          <t>ELC</t>
        </is>
      </c>
      <c r="C100" s="51" t="inlineStr">
        <is>
          <t>Công Nghệ, Năng Lượng &amp; Tiện Ích</t>
        </is>
      </c>
      <c r="D100" s="74" t="inlineStr">
        <is>
          <t>HOSE</t>
        </is>
      </c>
      <c r="E100" s="52" t="n">
        <v>19848.6875</v>
      </c>
      <c r="F100" s="52" t="n">
        <v>20293.724609375</v>
      </c>
      <c r="G100" s="52" t="n">
        <v>19715.17578125</v>
      </c>
      <c r="H100" s="52" t="n">
        <v>19848.6875</v>
      </c>
      <c r="I100" s="52" t="n">
        <v>20961.28125</v>
      </c>
      <c r="J100" s="52" t="n">
        <v>20204.716796875</v>
      </c>
      <c r="K100" s="52" t="n">
        <v>19893.19140625</v>
      </c>
      <c r="L100" s="52" t="n">
        <v>19581.6640625</v>
      </c>
      <c r="M100" s="52" t="n">
        <v>19893.19140625</v>
      </c>
      <c r="N100" s="52" t="n">
        <v>20560.748046875</v>
      </c>
      <c r="O100" s="52" t="n">
        <v>20738.763671875</v>
      </c>
      <c r="P100" s="52" t="n">
        <v>20605.251953125</v>
      </c>
      <c r="Q100" s="52" t="n">
        <v>21361.81640625</v>
      </c>
      <c r="R100" s="52" t="n">
        <v>20872.2734375</v>
      </c>
      <c r="S100" s="52" t="n">
        <v>21139.296875</v>
      </c>
      <c r="T100" s="52" t="n">
        <v>19848.6875</v>
      </c>
      <c r="U100" s="52" t="n">
        <v>19626.16796875</v>
      </c>
      <c r="V100" s="52" t="n">
        <v>19581.6640625</v>
      </c>
      <c r="W100" s="52" t="n">
        <v>19448.15234375</v>
      </c>
      <c r="X100" s="52" t="n">
        <v>21183.80078125</v>
      </c>
      <c r="Y100" s="52" t="n">
        <v>20872.2734375</v>
      </c>
      <c r="Z100" s="52" t="n">
        <v>20204.716796875</v>
      </c>
      <c r="AA100" s="52" t="n">
        <v>20026.703125</v>
      </c>
      <c r="AB100" s="52" t="n">
        <v>20093.45703125</v>
      </c>
      <c r="AC100" s="52" t="n">
        <v>19813.083984375</v>
      </c>
      <c r="AD100" s="52" t="n">
        <v>20327.103515625</v>
      </c>
      <c r="AE100" s="52" t="n">
        <v>19672.896484375</v>
      </c>
      <c r="AF100" s="52" t="n">
        <v>19158.87890625</v>
      </c>
      <c r="AG100" s="52" t="n">
        <v>19112.150390625</v>
      </c>
      <c r="AH100" s="52" t="n">
        <v>19345.794921875</v>
      </c>
      <c r="AI100" s="52" t="n">
        <v>20607.4765625</v>
      </c>
      <c r="AJ100" s="52" t="n">
        <v>21448.59765625</v>
      </c>
      <c r="AK100" s="52" t="n">
        <v>22336.44921875</v>
      </c>
      <c r="AL100" s="52" t="n">
        <v>22289.71875</v>
      </c>
      <c r="AM100" s="52" t="n">
        <v>22990.654296875</v>
      </c>
      <c r="AN100" s="52" t="n">
        <v>22242.990234375</v>
      </c>
      <c r="AO100" s="52" t="n">
        <v>25000</v>
      </c>
      <c r="AP100" s="52" t="n">
        <v>23364.486328125</v>
      </c>
      <c r="AQ100" s="52" t="n">
        <v>22803.73828125</v>
      </c>
      <c r="AR100" s="52" t="n">
        <v>21495.326171875</v>
      </c>
      <c r="AS100" s="52" t="n">
        <v>21495.326171875</v>
      </c>
      <c r="AT100" s="52" t="n">
        <v>21495.326171875</v>
      </c>
      <c r="AU100" s="52" t="n">
        <v>19065.419921875</v>
      </c>
      <c r="AV100" s="52" t="n">
        <v>17757.009765625</v>
      </c>
      <c r="AW100" s="52" t="n">
        <v>16542.056640625</v>
      </c>
      <c r="AX100" s="52" t="n">
        <v>16495.326171875</v>
      </c>
      <c r="AY100" s="52" t="n">
        <v>17149.533203125</v>
      </c>
      <c r="AZ100" s="52" t="n">
        <v>16962.6171875</v>
      </c>
      <c r="BA100" s="52" t="n">
        <v>16728.97265625</v>
      </c>
      <c r="BB100" s="52" t="n">
        <v>16869.158203125</v>
      </c>
      <c r="BC100" s="52" t="n">
        <v>16682.2421875</v>
      </c>
      <c r="BD100" s="52" t="n">
        <v>16448.59765625</v>
      </c>
      <c r="BE100" s="52" t="n">
        <v>15887.8505859375</v>
      </c>
      <c r="BF100" s="52" t="n">
        <v>15514.0185546875</v>
      </c>
      <c r="BG100" s="52" t="n">
        <v>15420.560546875</v>
      </c>
      <c r="BH100" s="52" t="n">
        <v>14953.271484375</v>
      </c>
      <c r="BI100" s="54">
        <f>MIN(E100:BH100)</f>
        <v/>
      </c>
      <c r="BJ100" s="54">
        <f>MAX(E100:BH100)</f>
        <v/>
      </c>
      <c r="BK100" s="54">
        <f>AVERAGE(E100:BH100)</f>
        <v/>
      </c>
    </row>
    <row r="101" ht="19" customHeight="1">
      <c r="A101" s="75" t="n">
        <v>100</v>
      </c>
      <c r="B101" s="56" t="inlineStr">
        <is>
          <t>PVD</t>
        </is>
      </c>
      <c r="C101" s="57" t="inlineStr">
        <is>
          <t>Dầu Khí, Cảng Biển &amp; Logistics</t>
        </is>
      </c>
      <c r="D101" s="75" t="inlineStr">
        <is>
          <t>HOSE</t>
        </is>
      </c>
      <c r="E101" s="58" t="n">
        <v>11054.5234375</v>
      </c>
      <c r="F101" s="58" t="n">
        <v>11354.1044921875</v>
      </c>
      <c r="G101" s="58" t="n">
        <v>10844.8173828125</v>
      </c>
      <c r="H101" s="58" t="n">
        <v>11264.23046875</v>
      </c>
      <c r="I101" s="58" t="n">
        <v>11623.7265625</v>
      </c>
      <c r="J101" s="58" t="n">
        <v>11593.7685546875</v>
      </c>
      <c r="K101" s="58" t="n">
        <v>12762.1328125</v>
      </c>
      <c r="L101" s="58" t="n">
        <v>11983.2236328125</v>
      </c>
      <c r="M101" s="58" t="n">
        <v>11923.3076171875</v>
      </c>
      <c r="N101" s="58" t="n">
        <v>12402.63671875</v>
      </c>
      <c r="O101" s="58" t="n">
        <v>12222.8876953125</v>
      </c>
      <c r="P101" s="58" t="n">
        <v>12732.1748046875</v>
      </c>
      <c r="Q101" s="58" t="n">
        <v>12672.2587890625</v>
      </c>
      <c r="R101" s="58" t="n">
        <v>12881.96484375</v>
      </c>
      <c r="S101" s="58" t="n">
        <v>13720.791015625</v>
      </c>
      <c r="T101" s="58" t="n">
        <v>13091.671875</v>
      </c>
      <c r="U101" s="58" t="n">
        <v>12881.96484375</v>
      </c>
      <c r="V101" s="58" t="n">
        <v>13451.16796875</v>
      </c>
      <c r="W101" s="58" t="n">
        <v>13690.8330078125</v>
      </c>
      <c r="X101" s="58" t="n">
        <v>13780.70703125</v>
      </c>
      <c r="Y101" s="58" t="n">
        <v>13780.70703125</v>
      </c>
      <c r="Z101" s="58" t="n">
        <v>12852.0068359375</v>
      </c>
      <c r="AA101" s="58" t="n">
        <v>13091.671875</v>
      </c>
      <c r="AB101" s="58" t="n">
        <v>12282.8037109375</v>
      </c>
      <c r="AC101" s="58" t="n">
        <v>12043.1396484375</v>
      </c>
      <c r="AD101" s="58" t="n">
        <v>12133.013671875</v>
      </c>
      <c r="AE101" s="58" t="n">
        <v>14799.28125</v>
      </c>
      <c r="AF101" s="58" t="n">
        <v>15997.603515625</v>
      </c>
      <c r="AG101" s="58" t="n">
        <v>15428.400390625</v>
      </c>
      <c r="AH101" s="58" t="n">
        <v>15997.603515625</v>
      </c>
      <c r="AI101" s="58" t="n">
        <v>15608.1484375</v>
      </c>
      <c r="AJ101" s="58" t="n">
        <v>14140.2041015625</v>
      </c>
      <c r="AK101" s="58" t="n">
        <v>16536.84765625</v>
      </c>
      <c r="AL101" s="58" t="n">
        <v>16387.05859375</v>
      </c>
      <c r="AM101" s="58" t="n">
        <v>16986.21875</v>
      </c>
      <c r="AN101" s="58" t="n">
        <v>17675.25390625</v>
      </c>
      <c r="AO101" s="58" t="n">
        <v>17315.7578125</v>
      </c>
      <c r="AP101" s="58" t="n">
        <v>16536.84765625</v>
      </c>
      <c r="AQ101" s="58" t="n">
        <v>18573.99609375</v>
      </c>
      <c r="AR101" s="58" t="n">
        <v>19682.4453125</v>
      </c>
      <c r="AS101" s="58" t="n">
        <v>20461.353515625</v>
      </c>
      <c r="AT101" s="58" t="n">
        <v>20461.353515625</v>
      </c>
      <c r="AU101" s="58" t="n">
        <v>23127.62109375</v>
      </c>
      <c r="AV101" s="58" t="n">
        <v>25344.517578125</v>
      </c>
      <c r="AW101" s="58" t="n">
        <v>23966.447265625</v>
      </c>
      <c r="AX101" s="58" t="n">
        <v>20521.26953125</v>
      </c>
      <c r="AY101" s="58" t="n">
        <v>21420.01171875</v>
      </c>
      <c r="AZ101" s="58" t="n">
        <v>20131.81640625</v>
      </c>
      <c r="BA101" s="58" t="n">
        <v>20311.564453125</v>
      </c>
      <c r="BB101" s="58" t="n">
        <v>19952.06640625</v>
      </c>
      <c r="BC101" s="58" t="n">
        <v>18813.66015625</v>
      </c>
      <c r="BD101" s="58" t="n">
        <v>18573.99609375</v>
      </c>
      <c r="BE101" s="58" t="n">
        <v>18454.1640625</v>
      </c>
      <c r="BF101" s="58" t="n">
        <v>20191.732421875</v>
      </c>
      <c r="BG101" s="58" t="n">
        <v>18903.53515625</v>
      </c>
      <c r="BH101" s="58" t="n">
        <v>18274.416015625</v>
      </c>
      <c r="BI101" s="60">
        <f>MIN(E101:BH101)</f>
        <v/>
      </c>
      <c r="BJ101" s="60">
        <f>MAX(E101:BH101)</f>
        <v/>
      </c>
      <c r="BK101" s="60">
        <f>AVERAGE(E101:BH101)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20" customWidth="1" min="61" max="61"/>
    <col width="22" customWidth="1" min="62" max="62"/>
  </cols>
  <sheetData>
    <row r="1" ht="28" customHeight="1">
      <c r="A1" s="6" t="inlineStr">
        <is>
          <t>STT</t>
        </is>
      </c>
      <c r="B1" s="6" t="inlineStr">
        <is>
          <t>Mã Cổ Phiếu</t>
        </is>
      </c>
      <c r="C1" s="6" t="inlineStr">
        <is>
          <t>Nhóm Ngành</t>
        </is>
      </c>
      <c r="D1" s="6" t="inlineStr">
        <is>
          <t>Sàn GD</t>
        </is>
      </c>
      <c r="E1" s="67" t="inlineStr">
        <is>
          <t>W01 (05/05)</t>
        </is>
      </c>
      <c r="F1" s="67" t="inlineStr">
        <is>
          <t>W02 (12/05)</t>
        </is>
      </c>
      <c r="G1" s="67" t="inlineStr">
        <is>
          <t>W03 (19/05)</t>
        </is>
      </c>
      <c r="H1" s="67" t="inlineStr">
        <is>
          <t>W04 (26/05)</t>
        </is>
      </c>
      <c r="I1" s="67" t="inlineStr">
        <is>
          <t>W05 (02/06)</t>
        </is>
      </c>
      <c r="J1" s="67" t="inlineStr">
        <is>
          <t>W06 (09/06)</t>
        </is>
      </c>
      <c r="K1" s="67" t="inlineStr">
        <is>
          <t>W07 (16/06)</t>
        </is>
      </c>
      <c r="L1" s="67" t="inlineStr">
        <is>
          <t>W08 (23/06)</t>
        </is>
      </c>
      <c r="M1" s="67" t="inlineStr">
        <is>
          <t>W09 (30/06)</t>
        </is>
      </c>
      <c r="N1" s="67" t="inlineStr">
        <is>
          <t>W10 (07/07)</t>
        </is>
      </c>
      <c r="O1" s="67" t="inlineStr">
        <is>
          <t>W11 (14/07)</t>
        </is>
      </c>
      <c r="P1" s="67" t="inlineStr">
        <is>
          <t>W12 (21/07)</t>
        </is>
      </c>
      <c r="Q1" s="67" t="inlineStr">
        <is>
          <t>W13 (28/07)</t>
        </is>
      </c>
      <c r="R1" s="67" t="inlineStr">
        <is>
          <t>W14 (04/08)</t>
        </is>
      </c>
      <c r="S1" s="67" t="inlineStr">
        <is>
          <t>W15 (11/08)</t>
        </is>
      </c>
      <c r="T1" s="67" t="inlineStr">
        <is>
          <t>W16 (18/08)</t>
        </is>
      </c>
      <c r="U1" s="67" t="inlineStr">
        <is>
          <t>W17 (25/08)</t>
        </is>
      </c>
      <c r="V1" s="67" t="inlineStr">
        <is>
          <t>W18 (01/09)</t>
        </is>
      </c>
      <c r="W1" s="67" t="inlineStr">
        <is>
          <t>W19 (08/09)</t>
        </is>
      </c>
      <c r="X1" s="67" t="inlineStr">
        <is>
          <t>W20 (15/09)</t>
        </is>
      </c>
      <c r="Y1" s="67" t="inlineStr">
        <is>
          <t>W21 (22/09)</t>
        </is>
      </c>
      <c r="Z1" s="67" t="inlineStr">
        <is>
          <t>W22 (29/09)</t>
        </is>
      </c>
      <c r="AA1" s="67" t="inlineStr">
        <is>
          <t>W23 (06/10)</t>
        </is>
      </c>
      <c r="AB1" s="67" t="inlineStr">
        <is>
          <t>W24 (13/10)</t>
        </is>
      </c>
      <c r="AC1" s="67" t="inlineStr">
        <is>
          <t>W25 (20/10)</t>
        </is>
      </c>
      <c r="AD1" s="67" t="inlineStr">
        <is>
          <t>W26 (27/10)</t>
        </is>
      </c>
      <c r="AE1" s="67" t="inlineStr">
        <is>
          <t>W27 (03/11)</t>
        </is>
      </c>
      <c r="AF1" s="67" t="inlineStr">
        <is>
          <t>W28 (10/11)</t>
        </is>
      </c>
      <c r="AG1" s="67" t="inlineStr">
        <is>
          <t>W29 (17/11)</t>
        </is>
      </c>
      <c r="AH1" s="67" t="inlineStr">
        <is>
          <t>W30 (24/11)</t>
        </is>
      </c>
      <c r="AI1" s="67" t="inlineStr">
        <is>
          <t>W31 (01/12)</t>
        </is>
      </c>
      <c r="AJ1" s="67" t="inlineStr">
        <is>
          <t>W32 (08/12)</t>
        </is>
      </c>
      <c r="AK1" s="67" t="inlineStr">
        <is>
          <t>W33 (15/12)</t>
        </is>
      </c>
      <c r="AL1" s="67" t="inlineStr">
        <is>
          <t>W34 (22/12)</t>
        </is>
      </c>
      <c r="AM1" s="67" t="inlineStr">
        <is>
          <t>W35 (29/12)</t>
        </is>
      </c>
      <c r="AN1" s="67" t="inlineStr">
        <is>
          <t>W36 (05/01)</t>
        </is>
      </c>
      <c r="AO1" s="67" t="inlineStr">
        <is>
          <t>W37 (12/01)</t>
        </is>
      </c>
      <c r="AP1" s="67" t="inlineStr">
        <is>
          <t>W38 (19/01)</t>
        </is>
      </c>
      <c r="AQ1" s="67" t="inlineStr">
        <is>
          <t>W39 (26/01)</t>
        </is>
      </c>
      <c r="AR1" s="67" t="inlineStr">
        <is>
          <t>W40 (02/02)</t>
        </is>
      </c>
      <c r="AS1" s="67" t="inlineStr">
        <is>
          <t>W41 (09/02)</t>
        </is>
      </c>
      <c r="AT1" s="67" t="inlineStr">
        <is>
          <t>W42 (16/02)</t>
        </is>
      </c>
      <c r="AU1" s="67" t="inlineStr">
        <is>
          <t>W43 (23/02)</t>
        </is>
      </c>
      <c r="AV1" s="67" t="inlineStr">
        <is>
          <t>W44 (02/03)</t>
        </is>
      </c>
      <c r="AW1" s="67" t="inlineStr">
        <is>
          <t>W45 (09/03)</t>
        </is>
      </c>
      <c r="AX1" s="67" t="inlineStr">
        <is>
          <t>W46 (16/03)</t>
        </is>
      </c>
      <c r="AY1" s="67" t="inlineStr">
        <is>
          <t>W47 (23/03)</t>
        </is>
      </c>
      <c r="AZ1" s="67" t="inlineStr">
        <is>
          <t>W48 (30/03)</t>
        </is>
      </c>
      <c r="BA1" s="67" t="inlineStr">
        <is>
          <t>W49 (06/04)</t>
        </is>
      </c>
      <c r="BB1" s="67" t="inlineStr">
        <is>
          <t>W50 (13/04)</t>
        </is>
      </c>
      <c r="BC1" s="67" t="inlineStr">
        <is>
          <t>W51 (20/04)</t>
        </is>
      </c>
      <c r="BD1" s="67" t="inlineStr">
        <is>
          <t>W52 (27/04)</t>
        </is>
      </c>
      <c r="BE1" s="67" t="inlineStr">
        <is>
          <t>W53 (04/05)</t>
        </is>
      </c>
      <c r="BF1" s="67" t="inlineStr">
        <is>
          <t>W54 (11/05)</t>
        </is>
      </c>
      <c r="BG1" s="67" t="inlineStr">
        <is>
          <t>W55 (18/05)</t>
        </is>
      </c>
      <c r="BH1" s="67" t="inlineStr">
        <is>
          <t>W56 (25/05)</t>
        </is>
      </c>
      <c r="BI1" s="76" t="inlineStr">
        <is>
          <t>TỔNG CP TÍCH LŨY</t>
        </is>
      </c>
      <c r="BJ1" s="77" t="inlineStr">
        <is>
          <t>GIÁ TRỊ TUẦN 56 (VNĐ)</t>
        </is>
      </c>
    </row>
    <row r="2" ht="19" customHeight="1">
      <c r="A2" s="68" t="n">
        <v>1</v>
      </c>
      <c r="B2" s="8" t="inlineStr">
        <is>
          <t>VIC</t>
        </is>
      </c>
      <c r="C2" s="9" t="inlineStr">
        <is>
          <t>VN30 Index (Nhóm Trụ Cột)</t>
        </is>
      </c>
      <c r="D2" s="68" t="inlineStr">
        <is>
          <t>HOSE</t>
        </is>
      </c>
      <c r="E2" s="11" t="n">
        <v>25.47770700636943</v>
      </c>
      <c r="F2" s="11" t="n">
        <v>25.06265664160401</v>
      </c>
      <c r="G2" s="11" t="n">
        <v>21.62162162162162</v>
      </c>
      <c r="H2" s="11" t="n">
        <v>20.61855670103093</v>
      </c>
      <c r="I2" s="11" t="n">
        <v>20.40816326530612</v>
      </c>
      <c r="J2" s="11" t="n">
        <v>23.04147465437788</v>
      </c>
      <c r="K2" s="11" t="n">
        <v>22.37136465324385</v>
      </c>
      <c r="L2" s="11" t="n">
        <v>21.05263157894737</v>
      </c>
      <c r="M2" s="11" t="n">
        <v>21.16402116402116</v>
      </c>
      <c r="N2" s="11" t="n">
        <v>19.68503937007874</v>
      </c>
      <c r="O2" s="11" t="n">
        <v>16.39344262295082</v>
      </c>
      <c r="P2" s="11" t="n">
        <v>17.24137931034483</v>
      </c>
      <c r="Q2" s="11" t="n">
        <v>18.95734597156398</v>
      </c>
      <c r="R2" s="11" t="n">
        <v>17.39130434782609</v>
      </c>
      <c r="S2" s="11" t="n">
        <v>16.92047377326565</v>
      </c>
      <c r="T2" s="11" t="n">
        <v>16</v>
      </c>
      <c r="U2" s="11" t="n">
        <v>15.3727901614143</v>
      </c>
      <c r="V2" s="11" t="n">
        <v>16</v>
      </c>
      <c r="W2" s="11" t="n">
        <v>14.70588235294118</v>
      </c>
      <c r="X2" s="11" t="n">
        <v>13.79310344827586</v>
      </c>
      <c r="Y2" s="11" t="n">
        <v>12.65822784810127</v>
      </c>
      <c r="Z2" s="11" t="n">
        <v>11.69590643274854</v>
      </c>
      <c r="AA2" s="11" t="n">
        <v>11.14206128133705</v>
      </c>
      <c r="AB2" s="11" t="n">
        <v>9.385265133740027</v>
      </c>
      <c r="AC2" s="11" t="n">
        <v>9.302325581395349</v>
      </c>
      <c r="AD2" s="11" t="n">
        <v>9.799118079372857</v>
      </c>
      <c r="AE2" s="11" t="n">
        <v>10.0150225338007</v>
      </c>
      <c r="AF2" s="11" t="n">
        <v>9.478672985781991</v>
      </c>
      <c r="AG2" s="11" t="n">
        <v>8.707009142359599</v>
      </c>
      <c r="AH2" s="11" t="n">
        <v>7.680491551459293</v>
      </c>
      <c r="AI2" s="11" t="n">
        <v>7.002801120448179</v>
      </c>
      <c r="AJ2" s="11" t="n">
        <v>6.944444444444445</v>
      </c>
      <c r="AK2" s="11" t="n">
        <v>6.734006734006734</v>
      </c>
      <c r="AL2" s="11" t="n">
        <v>6.451612903225806</v>
      </c>
      <c r="AM2" s="11" t="n">
        <v>5.89622641509434</v>
      </c>
      <c r="AN2" s="11" t="n">
        <v>5.681818181818182</v>
      </c>
      <c r="AO2" s="11" t="n">
        <v>6.253908692933083</v>
      </c>
      <c r="AP2" s="11" t="n">
        <v>6.045949214026602</v>
      </c>
      <c r="AQ2" s="11" t="n">
        <v>7.117437722419929</v>
      </c>
      <c r="AR2" s="11" t="n">
        <v>7.633587786259542</v>
      </c>
      <c r="AS2" s="11" t="n">
        <v>6.25</v>
      </c>
      <c r="AT2" s="11" t="n">
        <v>6.25</v>
      </c>
      <c r="AU2" s="11" t="n">
        <v>5.813953488372093</v>
      </c>
      <c r="AV2" s="11" t="n">
        <v>6.389776357827476</v>
      </c>
      <c r="AW2" s="11" t="n">
        <v>6.915629322268327</v>
      </c>
      <c r="AX2" s="11" t="n">
        <v>7.407407407407407</v>
      </c>
      <c r="AY2" s="11" t="n">
        <v>7.541478129713424</v>
      </c>
      <c r="AZ2" s="11" t="n">
        <v>7.092198581560283</v>
      </c>
      <c r="BA2" s="11" t="n">
        <v>6.591957811470007</v>
      </c>
      <c r="BB2" s="11" t="n">
        <v>5.32197977647685</v>
      </c>
      <c r="BC2" s="11" t="n">
        <v>4.714757190004715</v>
      </c>
      <c r="BD2" s="11" t="n">
        <v>4.672897196261682</v>
      </c>
      <c r="BE2" s="11" t="n">
        <v>4.424778761061947</v>
      </c>
      <c r="BF2" s="11" t="n">
        <v>4.385964912280702</v>
      </c>
      <c r="BG2" s="11" t="n">
        <v>4.618937644341801</v>
      </c>
      <c r="BH2" s="11" t="n">
        <v>4.73260766682442</v>
      </c>
      <c r="BI2" s="78">
        <f>SUM(E2:BH2)</f>
        <v/>
      </c>
      <c r="BJ2" s="79">
        <f>BI2*Weekly_Prices_VND!BH2</f>
        <v/>
      </c>
    </row>
    <row r="3" ht="19" customHeight="1">
      <c r="A3" s="68" t="n">
        <v>2</v>
      </c>
      <c r="B3" s="8" t="inlineStr">
        <is>
          <t>VHM</t>
        </is>
      </c>
      <c r="C3" s="9" t="inlineStr">
        <is>
          <t>VN30 Index (Nhóm Trụ Cột)</t>
        </is>
      </c>
      <c r="D3" s="68" t="inlineStr">
        <is>
          <t>HOSE</t>
        </is>
      </c>
      <c r="E3" s="11" t="n">
        <v>32.15434083601286</v>
      </c>
      <c r="F3" s="11" t="n">
        <v>34.48275862068966</v>
      </c>
      <c r="G3" s="11" t="n">
        <v>29.36857562408223</v>
      </c>
      <c r="H3" s="11" t="n">
        <v>26.00780234070221</v>
      </c>
      <c r="I3" s="11" t="n">
        <v>26.04166666666667</v>
      </c>
      <c r="J3" s="11" t="n">
        <v>28.57142857142857</v>
      </c>
      <c r="K3" s="11" t="n">
        <v>27.89400278940028</v>
      </c>
      <c r="L3" s="11" t="n">
        <v>26.31578947368421</v>
      </c>
      <c r="M3" s="11" t="n">
        <v>26.21231979030144</v>
      </c>
      <c r="N3" s="11" t="n">
        <v>23.25581395348837</v>
      </c>
      <c r="O3" s="11" t="n">
        <v>21.25398512221042</v>
      </c>
      <c r="P3" s="11" t="n">
        <v>21.73913043478261</v>
      </c>
      <c r="Q3" s="11" t="n">
        <v>22.22222222222222</v>
      </c>
      <c r="R3" s="11" t="n">
        <v>21.05263157894737</v>
      </c>
      <c r="S3" s="11" t="n">
        <v>21.29925452609159</v>
      </c>
      <c r="T3" s="11" t="n">
        <v>20.04008016032064</v>
      </c>
      <c r="U3" s="11" t="n">
        <v>19.12045889101339</v>
      </c>
      <c r="V3" s="11" t="n">
        <v>19.55034213098729</v>
      </c>
      <c r="W3" s="11" t="n">
        <v>18.88574126534466</v>
      </c>
      <c r="X3" s="11" t="n">
        <v>19.32367149758454</v>
      </c>
      <c r="Y3" s="11" t="n">
        <v>20.10050251256282</v>
      </c>
      <c r="Z3" s="11" t="n">
        <v>20.28397565922921</v>
      </c>
      <c r="AA3" s="11" t="n">
        <v>17.39130434782609</v>
      </c>
      <c r="AB3" s="11" t="n">
        <v>16.39344262295082</v>
      </c>
      <c r="AC3" s="11" t="n">
        <v>17.39130434782609</v>
      </c>
      <c r="AD3" s="11" t="n">
        <v>19.23076923076923</v>
      </c>
      <c r="AE3" s="11" t="n">
        <v>21.73913043478261</v>
      </c>
      <c r="AF3" s="11" t="n">
        <v>21.29925452609159</v>
      </c>
      <c r="AG3" s="11" t="n">
        <v>20.14098690835851</v>
      </c>
      <c r="AH3" s="11" t="n">
        <v>19.43634596695821</v>
      </c>
      <c r="AI3" s="11" t="n">
        <v>18.69158878504673</v>
      </c>
      <c r="AJ3" s="11" t="n">
        <v>21.25398512221042</v>
      </c>
      <c r="AK3" s="11" t="n">
        <v>19.70443349753695</v>
      </c>
      <c r="AL3" s="11" t="n">
        <v>18.18181818181818</v>
      </c>
      <c r="AM3" s="11" t="n">
        <v>16.12903225806452</v>
      </c>
      <c r="AN3" s="11" t="n">
        <v>14.28571428571429</v>
      </c>
      <c r="AO3" s="11" t="n">
        <v>16.116035455278</v>
      </c>
      <c r="AP3" s="11" t="n">
        <v>16.3265306122449</v>
      </c>
      <c r="AQ3" s="11" t="n">
        <v>18.86792452830189</v>
      </c>
      <c r="AR3" s="11" t="n">
        <v>20.51282051282051</v>
      </c>
      <c r="AS3" s="11" t="n">
        <v>18.34862385321101</v>
      </c>
      <c r="AT3" s="11" t="n">
        <v>18.34862385321101</v>
      </c>
      <c r="AU3" s="11" t="n">
        <v>18.51851851851852</v>
      </c>
      <c r="AV3" s="11" t="n">
        <v>21.05263157894737</v>
      </c>
      <c r="AW3" s="11" t="n">
        <v>20.40816326530612</v>
      </c>
      <c r="AX3" s="11" t="n">
        <v>20</v>
      </c>
      <c r="AY3" s="11" t="n">
        <v>19.41747572815534</v>
      </c>
      <c r="AZ3" s="11" t="n">
        <v>16.77852348993289</v>
      </c>
      <c r="BA3" s="11" t="n">
        <v>16.51527663088357</v>
      </c>
      <c r="BB3" s="11" t="n">
        <v>14.73839351510685</v>
      </c>
      <c r="BC3" s="11" t="n">
        <v>14.1643059490085</v>
      </c>
      <c r="BD3" s="11" t="n">
        <v>13.6986301369863</v>
      </c>
      <c r="BE3" s="11" t="n">
        <v>12.19512195121951</v>
      </c>
      <c r="BF3" s="11" t="n">
        <v>12.65822784810127</v>
      </c>
      <c r="BG3" s="11" t="n">
        <v>13.0039011703511</v>
      </c>
      <c r="BH3" s="11" t="n">
        <v>12.82051282051282</v>
      </c>
      <c r="BI3" s="78">
        <f>SUM(E3:BH3)</f>
        <v/>
      </c>
      <c r="BJ3" s="79">
        <f>BI3*Weekly_Prices_VND!BH3</f>
        <v/>
      </c>
    </row>
    <row r="4" ht="19" customHeight="1">
      <c r="A4" s="68" t="n">
        <v>3</v>
      </c>
      <c r="B4" s="8" t="inlineStr">
        <is>
          <t>LPB</t>
        </is>
      </c>
      <c r="C4" s="9" t="inlineStr">
        <is>
          <t>VN30 Index (Nhóm Trụ Cột)</t>
        </is>
      </c>
      <c r="D4" s="68" t="inlineStr">
        <is>
          <t>HOSE</t>
        </is>
      </c>
      <c r="E4" s="11" t="n">
        <v>30.2571860816944</v>
      </c>
      <c r="F4" s="11" t="n">
        <v>26.99055330634278</v>
      </c>
      <c r="G4" s="11" t="n">
        <v>31.34796238244514</v>
      </c>
      <c r="H4" s="11" t="n">
        <v>31.25</v>
      </c>
      <c r="I4" s="11" t="n">
        <v>31.44654088050314</v>
      </c>
      <c r="J4" s="11" t="n">
        <v>31.5955766192733</v>
      </c>
      <c r="K4" s="11" t="n">
        <v>30.8641975308642</v>
      </c>
      <c r="L4" s="11" t="n">
        <v>31.44654088050314</v>
      </c>
      <c r="M4" s="11" t="n">
        <v>30.76923076923077</v>
      </c>
      <c r="N4" s="11" t="n">
        <v>30.03003003003003</v>
      </c>
      <c r="O4" s="11" t="n">
        <v>29.71768202080238</v>
      </c>
      <c r="P4" s="11" t="n">
        <v>28.16901408450704</v>
      </c>
      <c r="Q4" s="11" t="n">
        <v>29.23976608187134</v>
      </c>
      <c r="R4" s="11" t="n">
        <v>27.93296089385475</v>
      </c>
      <c r="S4" s="11" t="n">
        <v>24.87562189054727</v>
      </c>
      <c r="T4" s="11" t="n">
        <v>20.66115702479339</v>
      </c>
      <c r="U4" s="11" t="n">
        <v>22.29654403567447</v>
      </c>
      <c r="V4" s="11" t="n">
        <v>21.90580503833516</v>
      </c>
      <c r="W4" s="11" t="n">
        <v>22.72727272727273</v>
      </c>
      <c r="X4" s="11" t="n">
        <v>22.02643171806167</v>
      </c>
      <c r="Y4" s="11" t="n">
        <v>20.85505735140772</v>
      </c>
      <c r="Z4" s="11" t="n">
        <v>19.37984496124031</v>
      </c>
      <c r="AA4" s="11" t="n">
        <v>19.53125</v>
      </c>
      <c r="AB4" s="11" t="n">
        <v>19.49317738791423</v>
      </c>
      <c r="AC4" s="11" t="n">
        <v>19.49317738791423</v>
      </c>
      <c r="AD4" s="11" t="n">
        <v>19.23076923076923</v>
      </c>
      <c r="AE4" s="11" t="n">
        <v>20.28397565922921</v>
      </c>
      <c r="AF4" s="11" t="n">
        <v>20.04008016032064</v>
      </c>
      <c r="AG4" s="11" t="n">
        <v>20.59732234809475</v>
      </c>
      <c r="AH4" s="11" t="n">
        <v>20.5761316872428</v>
      </c>
      <c r="AI4" s="11" t="n">
        <v>20.79002079002079</v>
      </c>
      <c r="AJ4" s="11" t="n">
        <v>22.62443438914027</v>
      </c>
      <c r="AK4" s="11" t="n">
        <v>22.98850574712644</v>
      </c>
      <c r="AL4" s="11" t="n">
        <v>24.09638554216868</v>
      </c>
      <c r="AM4" s="11" t="n">
        <v>23.92344497607656</v>
      </c>
      <c r="AN4" s="11" t="n">
        <v>24.27184466019418</v>
      </c>
      <c r="AO4" s="11" t="n">
        <v>23.95209580838323</v>
      </c>
      <c r="AP4" s="11" t="n">
        <v>23.58490566037736</v>
      </c>
      <c r="AQ4" s="11" t="n">
        <v>24.00960384153661</v>
      </c>
      <c r="AR4" s="11" t="n">
        <v>23.86634844868735</v>
      </c>
      <c r="AS4" s="11" t="n">
        <v>23.78121284185493</v>
      </c>
      <c r="AT4" s="11" t="n">
        <v>23.78121284185493</v>
      </c>
      <c r="AU4" s="11" t="n">
        <v>23.2288037166086</v>
      </c>
      <c r="AV4" s="11" t="n">
        <v>23.66863905325444</v>
      </c>
      <c r="AW4" s="11" t="n">
        <v>24.09638554216868</v>
      </c>
      <c r="AX4" s="11" t="n">
        <v>24.330900243309</v>
      </c>
      <c r="AY4" s="11" t="n">
        <v>23.92344497607656</v>
      </c>
      <c r="AZ4" s="11" t="n">
        <v>23.20185614849188</v>
      </c>
      <c r="BA4" s="11" t="n">
        <v>20.28397565922921</v>
      </c>
      <c r="BB4" s="11" t="n">
        <v>21.73913043478261</v>
      </c>
      <c r="BC4" s="11" t="n">
        <v>21.59827213822894</v>
      </c>
      <c r="BD4" s="11" t="n">
        <v>21.14164904862579</v>
      </c>
      <c r="BE4" s="11" t="n">
        <v>19.3050193050193</v>
      </c>
      <c r="BF4" s="11" t="n">
        <v>19.41747572815534</v>
      </c>
      <c r="BG4" s="11" t="n">
        <v>18.79699248120301</v>
      </c>
      <c r="BH4" s="11" t="n">
        <v>19.23076923076923</v>
      </c>
      <c r="BI4" s="78">
        <f>SUM(E4:BH4)</f>
        <v/>
      </c>
      <c r="BJ4" s="79">
        <f>BI4*Weekly_Prices_VND!BH4</f>
        <v/>
      </c>
    </row>
    <row r="5" ht="19" customHeight="1">
      <c r="A5" s="68" t="n">
        <v>4</v>
      </c>
      <c r="B5" s="8" t="inlineStr">
        <is>
          <t>GAS</t>
        </is>
      </c>
      <c r="C5" s="9" t="inlineStr">
        <is>
          <t>VN30 Index (Nhóm Trụ Cột)</t>
        </is>
      </c>
      <c r="D5" s="68" t="inlineStr">
        <is>
          <t>HOSE</t>
        </is>
      </c>
      <c r="E5" s="11" t="n">
        <v>16.77524377672858</v>
      </c>
      <c r="F5" s="11" t="n">
        <v>16.61290294320289</v>
      </c>
      <c r="G5" s="11" t="n">
        <v>16.88524595570327</v>
      </c>
      <c r="H5" s="11" t="n">
        <v>16.09375011787415</v>
      </c>
      <c r="I5" s="11" t="n">
        <v>16.14420101245582</v>
      </c>
      <c r="J5" s="11" t="n">
        <v>16.40127355889185</v>
      </c>
      <c r="K5" s="11" t="n">
        <v>14.34540461774092</v>
      </c>
      <c r="L5" s="11" t="n">
        <v>15.03649698488867</v>
      </c>
      <c r="M5" s="11" t="n">
        <v>15.55891260704654</v>
      </c>
      <c r="N5" s="11" t="n">
        <v>15.0584798417542</v>
      </c>
      <c r="O5" s="11" t="n">
        <v>15.21417999611088</v>
      </c>
      <c r="P5" s="11" t="n">
        <v>14.90593423874462</v>
      </c>
      <c r="Q5" s="11" t="n">
        <v>15.21417999611088</v>
      </c>
      <c r="R5" s="11" t="n">
        <v>14.90593423874462</v>
      </c>
      <c r="S5" s="11" t="n">
        <v>14.77761763560889</v>
      </c>
      <c r="T5" s="11" t="n">
        <v>14.86291457806914</v>
      </c>
      <c r="U5" s="11" t="n">
        <v>15.40832049306626</v>
      </c>
      <c r="V5" s="11" t="n">
        <v>15.57632398753894</v>
      </c>
      <c r="W5" s="11" t="n">
        <v>16.12903225806452</v>
      </c>
      <c r="X5" s="11" t="n">
        <v>15.87301587301587</v>
      </c>
      <c r="Y5" s="11" t="n">
        <v>16.15508885298869</v>
      </c>
      <c r="Z5" s="11" t="n">
        <v>16.58374792703151</v>
      </c>
      <c r="AA5" s="11" t="n">
        <v>16.42036124794745</v>
      </c>
      <c r="AB5" s="11" t="n">
        <v>17.03577512776831</v>
      </c>
      <c r="AC5" s="11" t="n">
        <v>16.72240802675585</v>
      </c>
      <c r="AD5" s="11" t="n">
        <v>16.75041876046901</v>
      </c>
      <c r="AE5" s="11" t="n">
        <v>15.89825119236884</v>
      </c>
      <c r="AF5" s="11" t="n">
        <v>15.92356687898089</v>
      </c>
      <c r="AG5" s="11" t="n">
        <v>16.15508885298869</v>
      </c>
      <c r="AH5" s="11" t="n">
        <v>15.77287066246057</v>
      </c>
      <c r="AI5" s="11" t="n">
        <v>15.625</v>
      </c>
      <c r="AJ5" s="11" t="n">
        <v>16.31321370309951</v>
      </c>
      <c r="AK5" s="11" t="n">
        <v>15.625</v>
      </c>
      <c r="AL5" s="11" t="n">
        <v>14.18439716312057</v>
      </c>
      <c r="AM5" s="11" t="n">
        <v>13.8121546961326</v>
      </c>
      <c r="AN5" s="11" t="n">
        <v>10.29866117404737</v>
      </c>
      <c r="AO5" s="11" t="n">
        <v>10.02004008016032</v>
      </c>
      <c r="AP5" s="11" t="n">
        <v>9.920634920634921</v>
      </c>
      <c r="AQ5" s="11" t="n">
        <v>8.547008547008547</v>
      </c>
      <c r="AR5" s="11" t="n">
        <v>8.695652173913043</v>
      </c>
      <c r="AS5" s="11" t="n">
        <v>9.84251968503937</v>
      </c>
      <c r="AT5" s="11" t="n">
        <v>9.84251968503937</v>
      </c>
      <c r="AU5" s="11" t="n">
        <v>9.267840593141798</v>
      </c>
      <c r="AV5" s="11" t="n">
        <v>8.920606601248885</v>
      </c>
      <c r="AW5" s="11" t="n">
        <v>10.89324618736383</v>
      </c>
      <c r="AX5" s="11" t="n">
        <v>12.19512195121951</v>
      </c>
      <c r="AY5" s="11" t="n">
        <v>12.18026796589525</v>
      </c>
      <c r="AZ5" s="11" t="n">
        <v>12.54705144291092</v>
      </c>
      <c r="BA5" s="11" t="n">
        <v>12.39157372986369</v>
      </c>
      <c r="BB5" s="11" t="n">
        <v>12.48439450686642</v>
      </c>
      <c r="BC5" s="11" t="n">
        <v>12.77139208173691</v>
      </c>
      <c r="BD5" s="11" t="n">
        <v>13.29787234042553</v>
      </c>
      <c r="BE5" s="11" t="n">
        <v>13.38688085676037</v>
      </c>
      <c r="BF5" s="11" t="n">
        <v>11.18568232662192</v>
      </c>
      <c r="BG5" s="11" t="n">
        <v>11.77856301531213</v>
      </c>
      <c r="BH5" s="11" t="n">
        <v>11.441647597254</v>
      </c>
      <c r="BI5" s="78">
        <f>SUM(E5:BH5)</f>
        <v/>
      </c>
      <c r="BJ5" s="79">
        <f>BI5*Weekly_Prices_VND!BH5</f>
        <v/>
      </c>
    </row>
    <row r="6" ht="19" customHeight="1">
      <c r="A6" s="68" t="n">
        <v>5</v>
      </c>
      <c r="B6" s="8" t="inlineStr">
        <is>
          <t>VJC</t>
        </is>
      </c>
      <c r="C6" s="9" t="inlineStr">
        <is>
          <t>VN30 Index (Nhóm Trụ Cột)</t>
        </is>
      </c>
      <c r="D6" s="68" t="inlineStr">
        <is>
          <t>HOSE</t>
        </is>
      </c>
      <c r="E6" s="11" t="n">
        <v>14.47661495122173</v>
      </c>
      <c r="F6" s="11" t="n">
        <v>14.28571428571429</v>
      </c>
      <c r="G6" s="11" t="n">
        <v>14.90825714786871</v>
      </c>
      <c r="H6" s="11" t="n">
        <v>14.85714219387758</v>
      </c>
      <c r="I6" s="11" t="n">
        <v>14.23877400596115</v>
      </c>
      <c r="J6" s="11" t="n">
        <v>14.62317171796334</v>
      </c>
      <c r="K6" s="11" t="n">
        <v>14.68926579606755</v>
      </c>
      <c r="L6" s="11" t="n">
        <v>14.92537313432836</v>
      </c>
      <c r="M6" s="11" t="n">
        <v>14.60674144481442</v>
      </c>
      <c r="N6" s="11" t="n">
        <v>13.54166622585722</v>
      </c>
      <c r="O6" s="11" t="n">
        <v>13.7857901460249</v>
      </c>
      <c r="P6" s="11" t="n">
        <v>11.40350916267507</v>
      </c>
      <c r="Q6" s="11" t="n">
        <v>10.72607302209956</v>
      </c>
      <c r="R6" s="11" t="n">
        <v>10.18011000563246</v>
      </c>
      <c r="S6" s="11" t="n">
        <v>9.537784080663425</v>
      </c>
      <c r="T6" s="11" t="n">
        <v>8.916323922246312</v>
      </c>
      <c r="U6" s="11" t="n">
        <v>8.965517289684898</v>
      </c>
      <c r="V6" s="11" t="n">
        <v>9.285714544802303</v>
      </c>
      <c r="W6" s="11" t="n">
        <v>8.940852627646738</v>
      </c>
      <c r="X6" s="11" t="n">
        <v>9.298998621350806</v>
      </c>
      <c r="Y6" s="11" t="n">
        <v>9.565857302967816</v>
      </c>
      <c r="Z6" s="11" t="n">
        <v>10.1010101010101</v>
      </c>
      <c r="AA6" s="11" t="n">
        <v>9.767092239732364</v>
      </c>
      <c r="AB6" s="11" t="n">
        <v>7.492795793919081</v>
      </c>
      <c r="AC6" s="11" t="n">
        <v>7.06521703132386</v>
      </c>
      <c r="AD6" s="11" t="n">
        <v>6.64961663401601</v>
      </c>
      <c r="AE6" s="11" t="n">
        <v>7.303370722407209</v>
      </c>
      <c r="AF6" s="11" t="n">
        <v>7.369614251360039</v>
      </c>
      <c r="AG6" s="11" t="n">
        <v>6.68036977516798</v>
      </c>
      <c r="AH6" s="11" t="n">
        <v>6.388206093909425</v>
      </c>
      <c r="AI6" s="11" t="n">
        <v>6.265060005080572</v>
      </c>
      <c r="AJ6" s="11" t="n">
        <v>7.027027264426597</v>
      </c>
      <c r="AK6" s="11" t="n">
        <v>6.503251473316702</v>
      </c>
      <c r="AL6" s="11" t="n">
        <v>6.253006206010956</v>
      </c>
      <c r="AM6" s="11" t="n">
        <v>6.220095554274173</v>
      </c>
      <c r="AN6" s="11" t="n">
        <v>6.542526318845522</v>
      </c>
      <c r="AO6" s="11" t="n">
        <v>7.06521703132386</v>
      </c>
      <c r="AP6" s="11" t="n">
        <v>6.714875978863668</v>
      </c>
      <c r="AQ6" s="11" t="n">
        <v>7.624633570832727</v>
      </c>
      <c r="AR6" s="11" t="n">
        <v>7.831325485488645</v>
      </c>
      <c r="AS6" s="11" t="n">
        <v>7.683215271926996</v>
      </c>
      <c r="AT6" s="11" t="n">
        <v>7.683215271926996</v>
      </c>
      <c r="AU6" s="11" t="n">
        <v>7.394766977605064</v>
      </c>
      <c r="AV6" s="11" t="n">
        <v>8.312020252756847</v>
      </c>
      <c r="AW6" s="11" t="n">
        <v>8.290816450456639</v>
      </c>
      <c r="AX6" s="11" t="n">
        <v>8.264462809917354</v>
      </c>
      <c r="AY6" s="11" t="n">
        <v>8.280254529849088</v>
      </c>
      <c r="AZ6" s="11" t="n">
        <v>8.069521957736635</v>
      </c>
      <c r="BA6" s="11" t="n">
        <v>7.784431101307863</v>
      </c>
      <c r="BB6" s="11" t="n">
        <v>7.311585858981672</v>
      </c>
      <c r="BC6" s="11" t="n">
        <v>7.20221594178989</v>
      </c>
      <c r="BD6" s="11" t="n">
        <v>7.222222598379649</v>
      </c>
      <c r="BE6" s="11" t="n">
        <v>7.377979176114899</v>
      </c>
      <c r="BF6" s="11" t="n">
        <v>7.589024894491803</v>
      </c>
      <c r="BG6" s="11" t="n">
        <v>7.642563057713054</v>
      </c>
      <c r="BH6" s="11" t="n">
        <v>7.562536564568878</v>
      </c>
      <c r="BI6" s="78">
        <f>SUM(E6:BH6)</f>
        <v/>
      </c>
      <c r="BJ6" s="79">
        <f>BI6*Weekly_Prices_VND!BH6</f>
        <v/>
      </c>
    </row>
    <row r="7" ht="19" customHeight="1">
      <c r="A7" s="68" t="n">
        <v>6</v>
      </c>
      <c r="B7" s="8" t="inlineStr">
        <is>
          <t>GVR</t>
        </is>
      </c>
      <c r="C7" s="9" t="inlineStr">
        <is>
          <t>VN30 Index (Nhóm Trụ Cột)</t>
        </is>
      </c>
      <c r="D7" s="68" t="inlineStr">
        <is>
          <t>HOSE</t>
        </is>
      </c>
      <c r="E7" s="11" t="n">
        <v>37.66478342749529</v>
      </c>
      <c r="F7" s="11" t="n">
        <v>35.58718861209965</v>
      </c>
      <c r="G7" s="11" t="n">
        <v>37.243947858473</v>
      </c>
      <c r="H7" s="11" t="n">
        <v>34.01360544217687</v>
      </c>
      <c r="I7" s="11" t="n">
        <v>34.24657534246575</v>
      </c>
      <c r="J7" s="11" t="n">
        <v>35.02626970227671</v>
      </c>
      <c r="K7" s="11" t="n">
        <v>33.44481605351171</v>
      </c>
      <c r="L7" s="11" t="n">
        <v>32.78688524590164</v>
      </c>
      <c r="M7" s="11" t="n">
        <v>33.78378378378378</v>
      </c>
      <c r="N7" s="11" t="n">
        <v>33.22259136212624</v>
      </c>
      <c r="O7" s="11" t="n">
        <v>33.27787021630616</v>
      </c>
      <c r="P7" s="11" t="n">
        <v>31.5955766192733</v>
      </c>
      <c r="Q7" s="11" t="n">
        <v>33.22259136212624</v>
      </c>
      <c r="R7" s="11" t="n">
        <v>32.15434083601286</v>
      </c>
      <c r="S7" s="11" t="n">
        <v>31.15264797507788</v>
      </c>
      <c r="T7" s="11" t="n">
        <v>31.54574132492113</v>
      </c>
      <c r="U7" s="11" t="n">
        <v>34.24657534246575</v>
      </c>
      <c r="V7" s="11" t="n">
        <v>33.89830508474576</v>
      </c>
      <c r="W7" s="11" t="n">
        <v>34.78260869565217</v>
      </c>
      <c r="X7" s="11" t="n">
        <v>34.72222222222222</v>
      </c>
      <c r="Y7" s="11" t="n">
        <v>34.72222222222222</v>
      </c>
      <c r="Z7" s="11" t="n">
        <v>36.63003663003663</v>
      </c>
      <c r="AA7" s="11" t="n">
        <v>35.71428571428572</v>
      </c>
      <c r="AB7" s="11" t="n">
        <v>36.76470588235294</v>
      </c>
      <c r="AC7" s="11" t="n">
        <v>38.31417624521073</v>
      </c>
      <c r="AD7" s="11" t="n">
        <v>35.27336860670194</v>
      </c>
      <c r="AE7" s="11" t="n">
        <v>35.97122302158273</v>
      </c>
      <c r="AF7" s="11" t="n">
        <v>35.2112676056338</v>
      </c>
      <c r="AG7" s="11" t="n">
        <v>35.97122302158273</v>
      </c>
      <c r="AH7" s="11" t="n">
        <v>36.63003663003663</v>
      </c>
      <c r="AI7" s="11" t="n">
        <v>36.4963503649635</v>
      </c>
      <c r="AJ7" s="11" t="n">
        <v>39.52569169960474</v>
      </c>
      <c r="AK7" s="11" t="n">
        <v>37.80718336483932</v>
      </c>
      <c r="AL7" s="11" t="n">
        <v>39.21568627450981</v>
      </c>
      <c r="AM7" s="11" t="n">
        <v>38.16793893129771</v>
      </c>
      <c r="AN7" s="11" t="n">
        <v>31.64556962025317</v>
      </c>
      <c r="AO7" s="11" t="n">
        <v>27.85515320334262</v>
      </c>
      <c r="AP7" s="11" t="n">
        <v>27.10027100271003</v>
      </c>
      <c r="AQ7" s="11" t="n">
        <v>25.09410288582183</v>
      </c>
      <c r="AR7" s="11" t="n">
        <v>25.64102564102564</v>
      </c>
      <c r="AS7" s="11" t="n">
        <v>27.47252747252747</v>
      </c>
      <c r="AT7" s="11" t="n">
        <v>27.47252747252747</v>
      </c>
      <c r="AU7" s="11" t="n">
        <v>25</v>
      </c>
      <c r="AV7" s="11" t="n">
        <v>26.49006622516556</v>
      </c>
      <c r="AW7" s="11" t="n">
        <v>29.41176470588235</v>
      </c>
      <c r="AX7" s="11" t="n">
        <v>32.52032520325204</v>
      </c>
      <c r="AY7" s="11" t="n">
        <v>31.15264797507788</v>
      </c>
      <c r="AZ7" s="11" t="n">
        <v>31.201248049922</v>
      </c>
      <c r="BA7" s="11" t="n">
        <v>29.71768202080238</v>
      </c>
      <c r="BB7" s="11" t="n">
        <v>29.85074626865672</v>
      </c>
      <c r="BC7" s="11" t="n">
        <v>29.98500749625187</v>
      </c>
      <c r="BD7" s="11" t="n">
        <v>29.67359050445104</v>
      </c>
      <c r="BE7" s="11" t="n">
        <v>28.01120448179272</v>
      </c>
      <c r="BF7" s="11" t="n">
        <v>26.49006622516556</v>
      </c>
      <c r="BG7" s="11" t="n">
        <v>28.328611898017</v>
      </c>
      <c r="BH7" s="11" t="n">
        <v>28.65329512893983</v>
      </c>
      <c r="BI7" s="78">
        <f>SUM(E7:BH7)</f>
        <v/>
      </c>
      <c r="BJ7" s="79">
        <f>BI7*Weekly_Prices_VND!BH7</f>
        <v/>
      </c>
    </row>
    <row r="8" ht="19" customHeight="1">
      <c r="A8" s="68" t="n">
        <v>7</v>
      </c>
      <c r="B8" s="8" t="inlineStr">
        <is>
          <t>BVH</t>
        </is>
      </c>
      <c r="C8" s="9" t="inlineStr">
        <is>
          <t>VN30 Index (Nhóm Trụ Cột)</t>
        </is>
      </c>
      <c r="D8" s="68" t="inlineStr">
        <is>
          <t>HOSE</t>
        </is>
      </c>
      <c r="E8" s="11" t="n">
        <v>20.44989775051125</v>
      </c>
      <c r="F8" s="11" t="n">
        <v>20.16129032258064</v>
      </c>
      <c r="G8" s="11" t="n">
        <v>20.2020202020202</v>
      </c>
      <c r="H8" s="11" t="n">
        <v>19.37984496124031</v>
      </c>
      <c r="I8" s="11" t="n">
        <v>19.84126984126984</v>
      </c>
      <c r="J8" s="11" t="n">
        <v>20.08032128514056</v>
      </c>
      <c r="K8" s="11" t="n">
        <v>19.49317738791423</v>
      </c>
      <c r="L8" s="11" t="n">
        <v>19.04761904761905</v>
      </c>
      <c r="M8" s="11" t="n">
        <v>18.86792452830189</v>
      </c>
      <c r="N8" s="11" t="n">
        <v>18.51851851851852</v>
      </c>
      <c r="O8" s="11" t="n">
        <v>18.69158878504673</v>
      </c>
      <c r="P8" s="11" t="n">
        <v>19.15708812260537</v>
      </c>
      <c r="Q8" s="11" t="n">
        <v>20.30456852791878</v>
      </c>
      <c r="R8" s="11" t="n">
        <v>19.23076923076923</v>
      </c>
      <c r="S8" s="11" t="n">
        <v>16.42036124794745</v>
      </c>
      <c r="T8" s="11" t="n">
        <v>16.66666666666667</v>
      </c>
      <c r="U8" s="11" t="n">
        <v>16.52892561983471</v>
      </c>
      <c r="V8" s="11" t="n">
        <v>16.52892561983471</v>
      </c>
      <c r="W8" s="11" t="n">
        <v>17.33102253032929</v>
      </c>
      <c r="X8" s="11" t="n">
        <v>17.03577512776831</v>
      </c>
      <c r="Y8" s="11" t="n">
        <v>17.69911504424779</v>
      </c>
      <c r="Z8" s="11" t="n">
        <v>18.48428835489834</v>
      </c>
      <c r="AA8" s="11" t="n">
        <v>18.14882032667877</v>
      </c>
      <c r="AB8" s="11" t="n">
        <v>19.45525291828794</v>
      </c>
      <c r="AC8" s="11" t="n">
        <v>20.24291497975709</v>
      </c>
      <c r="AD8" s="11" t="n">
        <v>19.76284584980237</v>
      </c>
      <c r="AE8" s="11" t="n">
        <v>19.23076923076923</v>
      </c>
      <c r="AF8" s="11" t="n">
        <v>18.08318264014467</v>
      </c>
      <c r="AG8" s="11" t="n">
        <v>18.48428835489834</v>
      </c>
      <c r="AH8" s="11" t="n">
        <v>19.19385796545106</v>
      </c>
      <c r="AI8" s="11" t="n">
        <v>19.23076923076923</v>
      </c>
      <c r="AJ8" s="11" t="n">
        <v>19.23076923076923</v>
      </c>
      <c r="AK8" s="11" t="n">
        <v>18.51851851851852</v>
      </c>
      <c r="AL8" s="11" t="n">
        <v>17.88908765652952</v>
      </c>
      <c r="AM8" s="11" t="n">
        <v>17.6056338028169</v>
      </c>
      <c r="AN8" s="11" t="n">
        <v>14.81481481481481</v>
      </c>
      <c r="AO8" s="11" t="n">
        <v>13.5685210312076</v>
      </c>
      <c r="AP8" s="11" t="n">
        <v>13.77410468319559</v>
      </c>
      <c r="AQ8" s="11" t="n">
        <v>14.32664756446991</v>
      </c>
      <c r="AR8" s="11" t="n">
        <v>12.82051282051282</v>
      </c>
      <c r="AS8" s="11" t="n">
        <v>13.1578947368421</v>
      </c>
      <c r="AT8" s="11" t="n">
        <v>13.1578947368421</v>
      </c>
      <c r="AU8" s="11" t="n">
        <v>12.3304562268804</v>
      </c>
      <c r="AV8" s="11" t="n">
        <v>13.05483028720627</v>
      </c>
      <c r="AW8" s="11" t="n">
        <v>13.75515818431912</v>
      </c>
      <c r="AX8" s="11" t="n">
        <v>13.1578947368421</v>
      </c>
      <c r="AY8" s="11" t="n">
        <v>11.90476190476191</v>
      </c>
      <c r="AZ8" s="11" t="n">
        <v>11.76470588235294</v>
      </c>
      <c r="BA8" s="11" t="n">
        <v>13.08900523560209</v>
      </c>
      <c r="BB8" s="11" t="n">
        <v>13.77410468319559</v>
      </c>
      <c r="BC8" s="11" t="n">
        <v>13.92757660167131</v>
      </c>
      <c r="BD8" s="11" t="n">
        <v>14.18439716312057</v>
      </c>
      <c r="BE8" s="11" t="n">
        <v>15.15151515151515</v>
      </c>
      <c r="BF8" s="11" t="n">
        <v>14.90312965722802</v>
      </c>
      <c r="BG8" s="11" t="n">
        <v>13.88888888888889</v>
      </c>
      <c r="BH8" s="11" t="n">
        <v>14.77104874446086</v>
      </c>
      <c r="BI8" s="78">
        <f>SUM(E8:BH8)</f>
        <v/>
      </c>
      <c r="BJ8" s="79">
        <f>BI8*Weekly_Prices_VND!BH8</f>
        <v/>
      </c>
    </row>
    <row r="9" ht="19" customHeight="1">
      <c r="A9" s="68" t="n">
        <v>8</v>
      </c>
      <c r="B9" s="8" t="inlineStr">
        <is>
          <t>HDB</t>
        </is>
      </c>
      <c r="C9" s="9" t="inlineStr">
        <is>
          <t>VN30 Index (Nhóm Trụ Cột)</t>
        </is>
      </c>
      <c r="D9" s="68" t="inlineStr">
        <is>
          <t>HOSE</t>
        </is>
      </c>
      <c r="E9" s="11" t="n">
        <v>61.03058729066628</v>
      </c>
      <c r="F9" s="11" t="n">
        <v>58.2876433725185</v>
      </c>
      <c r="G9" s="11" t="n">
        <v>58.81632603359929</v>
      </c>
      <c r="H9" s="11" t="n">
        <v>58.81632603359929</v>
      </c>
      <c r="I9" s="11" t="n">
        <v>59.90300159667239</v>
      </c>
      <c r="J9" s="11" t="n">
        <v>59.6275838134402</v>
      </c>
      <c r="K9" s="11" t="n">
        <v>58.94999693160661</v>
      </c>
      <c r="L9" s="11" t="n">
        <v>59.7649788896554</v>
      </c>
      <c r="M9" s="11" t="n">
        <v>57.51219325894191</v>
      </c>
      <c r="N9" s="11" t="n">
        <v>53.26078216163253</v>
      </c>
      <c r="O9" s="11" t="n">
        <v>53.26078216163253</v>
      </c>
      <c r="P9" s="11" t="n">
        <v>46.98913018439471</v>
      </c>
      <c r="Q9" s="11" t="n">
        <v>49.03213721413761</v>
      </c>
      <c r="R9" s="11" t="n">
        <v>45.50526216808044</v>
      </c>
      <c r="S9" s="11" t="n">
        <v>41.90307050478059</v>
      </c>
      <c r="T9" s="11" t="n">
        <v>39.00451042978324</v>
      </c>
      <c r="U9" s="11" t="n">
        <v>39.90461549876561</v>
      </c>
      <c r="V9" s="11" t="n">
        <v>39.12217181846579</v>
      </c>
      <c r="W9" s="11" t="n">
        <v>41.1714301153572</v>
      </c>
      <c r="X9" s="11" t="n">
        <v>42.24430110351685</v>
      </c>
      <c r="Y9" s="11" t="n">
        <v>41.83548278106274</v>
      </c>
      <c r="Z9" s="11" t="n">
        <v>42.03889632460991</v>
      </c>
      <c r="AA9" s="11" t="n">
        <v>40.97630201199245</v>
      </c>
      <c r="AB9" s="11" t="n">
        <v>38.82934087573057</v>
      </c>
      <c r="AC9" s="11" t="n">
        <v>39.29999946269532</v>
      </c>
      <c r="AD9" s="11" t="n">
        <v>38.82934087573057</v>
      </c>
      <c r="AE9" s="11" t="n">
        <v>43.23000040443691</v>
      </c>
      <c r="AF9" s="11" t="n">
        <v>43.44723608965032</v>
      </c>
      <c r="AG9" s="11" t="n">
        <v>41.56730835116452</v>
      </c>
      <c r="AH9" s="11" t="n">
        <v>40.52812580690153</v>
      </c>
      <c r="AI9" s="11" t="n">
        <v>39.35963715334499</v>
      </c>
      <c r="AJ9" s="11" t="n">
        <v>42.94370725811559</v>
      </c>
      <c r="AK9" s="11" t="n">
        <v>38.53564547206166</v>
      </c>
      <c r="AL9" s="11" t="n">
        <v>36.23188405797102</v>
      </c>
      <c r="AM9" s="11" t="n">
        <v>33.67003367003367</v>
      </c>
      <c r="AN9" s="11" t="n">
        <v>35.84229390681003</v>
      </c>
      <c r="AO9" s="11" t="n">
        <v>35.1493848857645</v>
      </c>
      <c r="AP9" s="11" t="n">
        <v>33.78378378378378</v>
      </c>
      <c r="AQ9" s="11" t="n">
        <v>35.3356890459364</v>
      </c>
      <c r="AR9" s="11" t="n">
        <v>37.73584905660378</v>
      </c>
      <c r="AS9" s="11" t="n">
        <v>35.46099290780142</v>
      </c>
      <c r="AT9" s="11" t="n">
        <v>35.46099290780142</v>
      </c>
      <c r="AU9" s="11" t="n">
        <v>35.77817531305904</v>
      </c>
      <c r="AV9" s="11" t="n">
        <v>38.61003861003861</v>
      </c>
      <c r="AW9" s="11" t="n">
        <v>39.0625</v>
      </c>
      <c r="AX9" s="11" t="n">
        <v>40</v>
      </c>
      <c r="AY9" s="11" t="n">
        <v>39.52569169960474</v>
      </c>
      <c r="AZ9" s="11" t="n">
        <v>39.0625</v>
      </c>
      <c r="BA9" s="11" t="n">
        <v>38.24091778202677</v>
      </c>
      <c r="BB9" s="11" t="n">
        <v>38.16793893129771</v>
      </c>
      <c r="BC9" s="11" t="n">
        <v>37.17472118959108</v>
      </c>
      <c r="BD9" s="11" t="n">
        <v>37.59398496240601</v>
      </c>
      <c r="BE9" s="11" t="n">
        <v>36.56307129798903</v>
      </c>
      <c r="BF9" s="11" t="n">
        <v>36.29764065335753</v>
      </c>
      <c r="BG9" s="11" t="n">
        <v>38.68471953578337</v>
      </c>
      <c r="BH9" s="11" t="n">
        <v>38.61003861003861</v>
      </c>
      <c r="BI9" s="78">
        <f>SUM(E9:BH9)</f>
        <v/>
      </c>
      <c r="BJ9" s="79">
        <f>BI9*Weekly_Prices_VND!BH9</f>
        <v/>
      </c>
    </row>
    <row r="10" ht="19" customHeight="1">
      <c r="A10" s="68" t="n">
        <v>9</v>
      </c>
      <c r="B10" s="8" t="inlineStr">
        <is>
          <t>POW</t>
        </is>
      </c>
      <c r="C10" s="9" t="inlineStr">
        <is>
          <t>VN30 Index (Nhóm Trụ Cột)</t>
        </is>
      </c>
      <c r="D10" s="68" t="inlineStr">
        <is>
          <t>HOSE</t>
        </is>
      </c>
      <c r="E10" s="11" t="n">
        <v>92.96874815583233</v>
      </c>
      <c r="F10" s="11" t="n">
        <v>92.60700382067196</v>
      </c>
      <c r="G10" s="11" t="n">
        <v>87.50000106811525</v>
      </c>
      <c r="H10" s="11" t="n">
        <v>89.47368329077217</v>
      </c>
      <c r="I10" s="11" t="n">
        <v>86.86131064895918</v>
      </c>
      <c r="J10" s="11" t="n">
        <v>91.18773809884252</v>
      </c>
      <c r="K10" s="11" t="n">
        <v>91.53845844408757</v>
      </c>
      <c r="L10" s="11" t="n">
        <v>91.89189528739055</v>
      </c>
      <c r="M10" s="11" t="n">
        <v>89.81131817317113</v>
      </c>
      <c r="N10" s="11" t="n">
        <v>88.14814604391724</v>
      </c>
      <c r="O10" s="11" t="n">
        <v>86.54545288584714</v>
      </c>
      <c r="P10" s="11" t="n">
        <v>84.99999875488282</v>
      </c>
      <c r="Q10" s="11" t="n">
        <v>82.6388855823471</v>
      </c>
      <c r="R10" s="11" t="n">
        <v>79.86576935186979</v>
      </c>
      <c r="S10" s="11" t="n">
        <v>72.56097513447341</v>
      </c>
      <c r="T10" s="11" t="n">
        <v>73.91304159528596</v>
      </c>
      <c r="U10" s="11" t="n">
        <v>72.34042613314848</v>
      </c>
      <c r="V10" s="11" t="n">
        <v>71.04477798333431</v>
      </c>
      <c r="W10" s="11" t="n">
        <v>78.54785270958259</v>
      </c>
      <c r="X10" s="11" t="n">
        <v>77.52443287735491</v>
      </c>
      <c r="Y10" s="11" t="n">
        <v>78.28947287942565</v>
      </c>
      <c r="Z10" s="11" t="n">
        <v>83.80281459609334</v>
      </c>
      <c r="AA10" s="11" t="n">
        <v>81.50685155031364</v>
      </c>
      <c r="AB10" s="11" t="n">
        <v>82.92683124349351</v>
      </c>
      <c r="AC10" s="11" t="n">
        <v>87.82287772242344</v>
      </c>
      <c r="AD10" s="11" t="n">
        <v>83.80281459609334</v>
      </c>
      <c r="AE10" s="11" t="n">
        <v>83.80281459609334</v>
      </c>
      <c r="AF10" s="11" t="n">
        <v>79.86576935186979</v>
      </c>
      <c r="AG10" s="11" t="n">
        <v>79.59866106345987</v>
      </c>
      <c r="AH10" s="11" t="n">
        <v>78.0327873349738</v>
      </c>
      <c r="AI10" s="11" t="n">
        <v>79.06976887844783</v>
      </c>
      <c r="AJ10" s="11" t="n">
        <v>86.58008658008659</v>
      </c>
      <c r="AK10" s="11" t="n">
        <v>81.9672131147541</v>
      </c>
      <c r="AL10" s="11" t="n">
        <v>78.125</v>
      </c>
      <c r="AM10" s="11" t="n">
        <v>78.74015748031496</v>
      </c>
      <c r="AN10" s="11" t="n">
        <v>69.44444444444444</v>
      </c>
      <c r="AO10" s="11" t="n">
        <v>70.17543859649123</v>
      </c>
      <c r="AP10" s="11" t="n">
        <v>71.94244604316546</v>
      </c>
      <c r="AQ10" s="11" t="n">
        <v>72.72727272727273</v>
      </c>
      <c r="AR10" s="11" t="n">
        <v>74.07407407407408</v>
      </c>
      <c r="AS10" s="11" t="n">
        <v>74.6268656716418</v>
      </c>
      <c r="AT10" s="11" t="n">
        <v>74.6268656716418</v>
      </c>
      <c r="AU10" s="11" t="n">
        <v>68.96551724137932</v>
      </c>
      <c r="AV10" s="11" t="n">
        <v>68.72852233676976</v>
      </c>
      <c r="AW10" s="11" t="n">
        <v>75.18796992481202</v>
      </c>
      <c r="AX10" s="11" t="n">
        <v>76.04562737642586</v>
      </c>
      <c r="AY10" s="11" t="n">
        <v>76.62835249042146</v>
      </c>
      <c r="AZ10" s="11" t="n">
        <v>79.05138339920948</v>
      </c>
      <c r="BA10" s="11" t="n">
        <v>76.92307692307692</v>
      </c>
      <c r="BB10" s="11" t="n">
        <v>75.47169811320755</v>
      </c>
      <c r="BC10" s="11" t="n">
        <v>78.125</v>
      </c>
      <c r="BD10" s="11" t="n">
        <v>79.05138339920948</v>
      </c>
      <c r="BE10" s="11" t="n">
        <v>71.42857142857143</v>
      </c>
      <c r="BF10" s="11" t="n">
        <v>70.92198581560284</v>
      </c>
      <c r="BG10" s="11" t="n">
        <v>73.52941176470588</v>
      </c>
      <c r="BH10" s="11" t="n">
        <v>72.99270072992701</v>
      </c>
      <c r="BI10" s="78">
        <f>SUM(E10:BH10)</f>
        <v/>
      </c>
      <c r="BJ10" s="79">
        <f>BI10*Weekly_Prices_VND!BH10</f>
        <v/>
      </c>
    </row>
    <row r="11" ht="19" customHeight="1">
      <c r="A11" s="68" t="n">
        <v>10</v>
      </c>
      <c r="B11" s="8" t="inlineStr">
        <is>
          <t>VRE</t>
        </is>
      </c>
      <c r="C11" s="9" t="inlineStr">
        <is>
          <t>VN30 Index (Nhóm Trụ Cột)</t>
        </is>
      </c>
      <c r="D11" s="68" t="inlineStr">
        <is>
          <t>HOSE</t>
        </is>
      </c>
      <c r="E11" s="11" t="n">
        <v>40</v>
      </c>
      <c r="F11" s="11" t="n">
        <v>41.40786749482402</v>
      </c>
      <c r="G11" s="11" t="n">
        <v>39.44773175542407</v>
      </c>
      <c r="H11" s="11" t="n">
        <v>36.16636528028933</v>
      </c>
      <c r="I11" s="11" t="n">
        <v>37.03703703703704</v>
      </c>
      <c r="J11" s="11" t="n">
        <v>39.68253968253968</v>
      </c>
      <c r="K11" s="11" t="n">
        <v>40.48582995951417</v>
      </c>
      <c r="L11" s="11" t="n">
        <v>40.81632653061224</v>
      </c>
      <c r="M11" s="11" t="n">
        <v>39.92015968063873</v>
      </c>
      <c r="N11" s="11" t="n">
        <v>35.1493848857645</v>
      </c>
      <c r="O11" s="11" t="n">
        <v>33.61344537815126</v>
      </c>
      <c r="P11" s="11" t="n">
        <v>33.55704697986577</v>
      </c>
      <c r="Q11" s="11" t="n">
        <v>35.58718861209965</v>
      </c>
      <c r="R11" s="11" t="n">
        <v>32.78688524590164</v>
      </c>
      <c r="S11" s="11" t="n">
        <v>33.16749585406302</v>
      </c>
      <c r="T11" s="11" t="n">
        <v>32.89473684210526</v>
      </c>
      <c r="U11" s="11" t="n">
        <v>32.57328990228013</v>
      </c>
      <c r="V11" s="11" t="n">
        <v>33.00330033003301</v>
      </c>
      <c r="W11" s="11" t="n">
        <v>32.15434083601286</v>
      </c>
      <c r="X11" s="11" t="n">
        <v>33.11258278145695</v>
      </c>
      <c r="Y11" s="11" t="n">
        <v>34.01360544217687</v>
      </c>
      <c r="Z11" s="11" t="n">
        <v>31.49606299212599</v>
      </c>
      <c r="AA11" s="11" t="n">
        <v>26.31578947368421</v>
      </c>
      <c r="AB11" s="11" t="n">
        <v>23.04147465437788</v>
      </c>
      <c r="AC11" s="11" t="n">
        <v>25.38071065989848</v>
      </c>
      <c r="AD11" s="11" t="n">
        <v>28.90173410404624</v>
      </c>
      <c r="AE11" s="11" t="n">
        <v>31.89792663476874</v>
      </c>
      <c r="AF11" s="11" t="n">
        <v>31.15264797507788</v>
      </c>
      <c r="AG11" s="11" t="n">
        <v>31.05590062111801</v>
      </c>
      <c r="AH11" s="11" t="n">
        <v>29.1970802919708</v>
      </c>
      <c r="AI11" s="11" t="n">
        <v>29.58579881656805</v>
      </c>
      <c r="AJ11" s="11" t="n">
        <v>36.42987249544627</v>
      </c>
      <c r="AK11" s="11" t="n">
        <v>31.54574132492113</v>
      </c>
      <c r="AL11" s="11" t="n">
        <v>31.25</v>
      </c>
      <c r="AM11" s="11" t="n">
        <v>29.71768202080238</v>
      </c>
      <c r="AN11" s="11" t="n">
        <v>28.57142857142857</v>
      </c>
      <c r="AO11" s="11" t="n">
        <v>31.25</v>
      </c>
      <c r="AP11" s="11" t="n">
        <v>30.8641975308642</v>
      </c>
      <c r="AQ11" s="11" t="n">
        <v>33.11258278145695</v>
      </c>
      <c r="AR11" s="11" t="n">
        <v>35.650623885918</v>
      </c>
      <c r="AS11" s="11" t="n">
        <v>33.55704697986577</v>
      </c>
      <c r="AT11" s="11" t="n">
        <v>33.55704697986577</v>
      </c>
      <c r="AU11" s="11" t="n">
        <v>34.42340791738382</v>
      </c>
      <c r="AV11" s="11" t="n">
        <v>38.09523809523809</v>
      </c>
      <c r="AW11" s="11" t="n">
        <v>39.6039603960396</v>
      </c>
      <c r="AX11" s="11" t="n">
        <v>38.24091778202677</v>
      </c>
      <c r="AY11" s="11" t="n">
        <v>38.83495145631068</v>
      </c>
      <c r="AZ11" s="11" t="n">
        <v>37.73584905660378</v>
      </c>
      <c r="BA11" s="11" t="n">
        <v>36.36363636363637</v>
      </c>
      <c r="BB11" s="11" t="n">
        <v>34.96503496503497</v>
      </c>
      <c r="BC11" s="11" t="n">
        <v>34.72222222222222</v>
      </c>
      <c r="BD11" s="11" t="n">
        <v>30.95975232198142</v>
      </c>
      <c r="BE11" s="11" t="n">
        <v>27.85515320334262</v>
      </c>
      <c r="BF11" s="11" t="n">
        <v>29.41176470588235</v>
      </c>
      <c r="BG11" s="11" t="n">
        <v>31.54574132492113</v>
      </c>
      <c r="BH11" s="11" t="n">
        <v>31.00775193798449</v>
      </c>
      <c r="BI11" s="78">
        <f>SUM(E11:BH11)</f>
        <v/>
      </c>
      <c r="BJ11" s="79">
        <f>BI11*Weekly_Prices_VND!BH11</f>
        <v/>
      </c>
    </row>
    <row r="12" ht="19" customHeight="1">
      <c r="A12" s="68" t="n">
        <v>11</v>
      </c>
      <c r="B12" s="8" t="inlineStr">
        <is>
          <t>PLX</t>
        </is>
      </c>
      <c r="C12" s="9" t="inlineStr">
        <is>
          <t>VN30 Index (Nhóm Trụ Cột)</t>
        </is>
      </c>
      <c r="D12" s="68" t="inlineStr">
        <is>
          <t>HOSE</t>
        </is>
      </c>
      <c r="E12" s="11" t="n">
        <v>28.01120448179272</v>
      </c>
      <c r="F12" s="11" t="n">
        <v>28.12939521800281</v>
      </c>
      <c r="G12" s="11" t="n">
        <v>28.73563218390805</v>
      </c>
      <c r="H12" s="11" t="n">
        <v>28.65329512893983</v>
      </c>
      <c r="I12" s="11" t="n">
        <v>27.70083102493075</v>
      </c>
      <c r="J12" s="11" t="n">
        <v>28.36879432624113</v>
      </c>
      <c r="K12" s="11" t="n">
        <v>25.28445006321112</v>
      </c>
      <c r="L12" s="11" t="n">
        <v>26.99055330634278</v>
      </c>
      <c r="M12" s="11" t="n">
        <v>27.02702702702703</v>
      </c>
      <c r="N12" s="11" t="n">
        <v>26.38522427440633</v>
      </c>
      <c r="O12" s="11" t="n">
        <v>26.95417789757412</v>
      </c>
      <c r="P12" s="11" t="n">
        <v>26.24671916010499</v>
      </c>
      <c r="Q12" s="11" t="n">
        <v>27.58620689655172</v>
      </c>
      <c r="R12" s="11" t="n">
        <v>26.95417789757412</v>
      </c>
      <c r="S12" s="11" t="n">
        <v>26.38522427440633</v>
      </c>
      <c r="T12" s="11" t="n">
        <v>27.10027100271003</v>
      </c>
      <c r="U12" s="11" t="n">
        <v>27.66251728907331</v>
      </c>
      <c r="V12" s="11" t="n">
        <v>27.28512960436562</v>
      </c>
      <c r="W12" s="11" t="n">
        <v>28.28854314002829</v>
      </c>
      <c r="X12" s="11" t="n">
        <v>28.08988764044944</v>
      </c>
      <c r="Y12" s="11" t="n">
        <v>28.53067047075606</v>
      </c>
      <c r="Z12" s="11" t="n">
        <v>29.41176470588235</v>
      </c>
      <c r="AA12" s="11" t="n">
        <v>29.32551319648094</v>
      </c>
      <c r="AB12" s="11" t="n">
        <v>29.67359050445104</v>
      </c>
      <c r="AC12" s="11" t="n">
        <v>29.1970802919708</v>
      </c>
      <c r="AD12" s="11" t="n">
        <v>28.94356005788712</v>
      </c>
      <c r="AE12" s="11" t="n">
        <v>29.41176470588235</v>
      </c>
      <c r="AF12" s="11" t="n">
        <v>28.98550724637681</v>
      </c>
      <c r="AG12" s="11" t="n">
        <v>29.45508100147275</v>
      </c>
      <c r="AH12" s="11" t="n">
        <v>29.49852507374631</v>
      </c>
      <c r="AI12" s="11" t="n">
        <v>29.06976744186046</v>
      </c>
      <c r="AJ12" s="11" t="n">
        <v>29.67359050445104</v>
      </c>
      <c r="AK12" s="11" t="n">
        <v>28.69440459110474</v>
      </c>
      <c r="AL12" s="11" t="n">
        <v>28.12939521800281</v>
      </c>
      <c r="AM12" s="11" t="n">
        <v>28.328611898017</v>
      </c>
      <c r="AN12" s="11" t="n">
        <v>23.25581395348837</v>
      </c>
      <c r="AO12" s="11" t="n">
        <v>19.23076923076923</v>
      </c>
      <c r="AP12" s="11" t="n">
        <v>18.31501831501831</v>
      </c>
      <c r="AQ12" s="11" t="n">
        <v>16.97792869269949</v>
      </c>
      <c r="AR12" s="11" t="n">
        <v>17.54385964912281</v>
      </c>
      <c r="AS12" s="11" t="n">
        <v>19.23076923076923</v>
      </c>
      <c r="AT12" s="11" t="n">
        <v>19.23076923076923</v>
      </c>
      <c r="AU12" s="11" t="n">
        <v>17.30103806228374</v>
      </c>
      <c r="AV12" s="11" t="n">
        <v>16.12903225806452</v>
      </c>
      <c r="AW12" s="11" t="n">
        <v>20.66115702479339</v>
      </c>
      <c r="AX12" s="11" t="n">
        <v>23.36448598130841</v>
      </c>
      <c r="AY12" s="11" t="n">
        <v>23.66863905325444</v>
      </c>
      <c r="AZ12" s="11" t="n">
        <v>24.87562189054727</v>
      </c>
      <c r="BA12" s="11" t="n">
        <v>24.30133657351154</v>
      </c>
      <c r="BB12" s="11" t="n">
        <v>25.03128911138923</v>
      </c>
      <c r="BC12" s="11" t="n">
        <v>25.18891687657431</v>
      </c>
      <c r="BD12" s="11" t="n">
        <v>26.91790040376851</v>
      </c>
      <c r="BE12" s="11" t="n">
        <v>26.59574468085106</v>
      </c>
      <c r="BF12" s="11" t="n">
        <v>23.69668246445498</v>
      </c>
      <c r="BG12" s="11" t="n">
        <v>23.83790226460071</v>
      </c>
      <c r="BH12" s="11" t="n">
        <v>24.39024390243902</v>
      </c>
      <c r="BI12" s="78">
        <f>SUM(E12:BH12)</f>
        <v/>
      </c>
      <c r="BJ12" s="79">
        <f>BI12*Weekly_Prices_VND!BH12</f>
        <v/>
      </c>
    </row>
    <row r="13" ht="19" customHeight="1">
      <c r="A13" s="68" t="n">
        <v>12</v>
      </c>
      <c r="B13" s="8" t="inlineStr">
        <is>
          <t>VPB</t>
        </is>
      </c>
      <c r="C13" s="9" t="inlineStr">
        <is>
          <t>VN30 Index (Nhóm Trụ Cột)</t>
        </is>
      </c>
      <c r="D13" s="68" t="inlineStr">
        <is>
          <t>HOSE</t>
        </is>
      </c>
      <c r="E13" s="11" t="n">
        <v>58.8235294117647</v>
      </c>
      <c r="F13" s="11" t="n">
        <v>53.90835579514825</v>
      </c>
      <c r="G13" s="11" t="n">
        <v>54.6448087431694</v>
      </c>
      <c r="H13" s="11" t="n">
        <v>55.09641873278237</v>
      </c>
      <c r="I13" s="11" t="n">
        <v>55.24861878453039</v>
      </c>
      <c r="J13" s="11" t="n">
        <v>54.94505494505494</v>
      </c>
      <c r="K13" s="11" t="n">
        <v>54.05405405405406</v>
      </c>
      <c r="L13" s="11" t="n">
        <v>54.49591280653951</v>
      </c>
      <c r="M13" s="11" t="n">
        <v>53.61930294906166</v>
      </c>
      <c r="N13" s="11" t="n">
        <v>49.62779156327544</v>
      </c>
      <c r="O13" s="11" t="n">
        <v>47.84688995215311</v>
      </c>
      <c r="P13" s="11" t="n">
        <v>42.5531914893617</v>
      </c>
      <c r="Q13" s="11" t="n">
        <v>38.75968992248062</v>
      </c>
      <c r="R13" s="11" t="n">
        <v>34.54231433506045</v>
      </c>
      <c r="S13" s="11" t="n">
        <v>32.46753246753246</v>
      </c>
      <c r="T13" s="11" t="n">
        <v>25.8732212160414</v>
      </c>
      <c r="U13" s="11" t="n">
        <v>29.41176470588235</v>
      </c>
      <c r="V13" s="11" t="n">
        <v>28.65329512893983</v>
      </c>
      <c r="W13" s="11" t="n">
        <v>31.00775193798449</v>
      </c>
      <c r="X13" s="11" t="n">
        <v>32.46753246753246</v>
      </c>
      <c r="Y13" s="11" t="n">
        <v>32.31017770597738</v>
      </c>
      <c r="Z13" s="11" t="n">
        <v>33.16749585406302</v>
      </c>
      <c r="AA13" s="11" t="n">
        <v>31.15264797507788</v>
      </c>
      <c r="AB13" s="11" t="n">
        <v>30.12048192771084</v>
      </c>
      <c r="AC13" s="11" t="n">
        <v>33.33333333333334</v>
      </c>
      <c r="AD13" s="11" t="n">
        <v>34.24657534246575</v>
      </c>
      <c r="AE13" s="11" t="n">
        <v>36.36363636363637</v>
      </c>
      <c r="AF13" s="11" t="n">
        <v>35.97122302158273</v>
      </c>
      <c r="AG13" s="11" t="n">
        <v>35.02626970227671</v>
      </c>
      <c r="AH13" s="11" t="n">
        <v>34.18803418803419</v>
      </c>
      <c r="AI13" s="11" t="n">
        <v>33.50083752093802</v>
      </c>
      <c r="AJ13" s="11" t="n">
        <v>37.66478342749529</v>
      </c>
      <c r="AK13" s="11" t="n">
        <v>35.1493848857645</v>
      </c>
      <c r="AL13" s="11" t="n">
        <v>35.52397868561279</v>
      </c>
      <c r="AM13" s="11" t="n">
        <v>34.90401396160559</v>
      </c>
      <c r="AN13" s="11" t="n">
        <v>35.39823008849557</v>
      </c>
      <c r="AO13" s="11" t="n">
        <v>34.60207612456747</v>
      </c>
      <c r="AP13" s="11" t="n">
        <v>35.08771929824562</v>
      </c>
      <c r="AQ13" s="11" t="n">
        <v>35.71428571428572</v>
      </c>
      <c r="AR13" s="11" t="n">
        <v>37.3134328358209</v>
      </c>
      <c r="AS13" s="11" t="n">
        <v>35.3356890459364</v>
      </c>
      <c r="AT13" s="11" t="n">
        <v>35.3356890459364</v>
      </c>
      <c r="AU13" s="11" t="n">
        <v>34.54231433506045</v>
      </c>
      <c r="AV13" s="11" t="n">
        <v>37.5234521575985</v>
      </c>
      <c r="AW13" s="11" t="n">
        <v>38.98635477582846</v>
      </c>
      <c r="AX13" s="11" t="n">
        <v>39.92015968063873</v>
      </c>
      <c r="AY13" s="11" t="n">
        <v>37.80718336483932</v>
      </c>
      <c r="AZ13" s="11" t="n">
        <v>38.75968992248062</v>
      </c>
      <c r="BA13" s="11" t="n">
        <v>36.63003663003663</v>
      </c>
      <c r="BB13" s="11" t="n">
        <v>35.39823008849557</v>
      </c>
      <c r="BC13" s="11" t="n">
        <v>36.69724770642202</v>
      </c>
      <c r="BD13" s="11" t="n">
        <v>37.73584905660378</v>
      </c>
      <c r="BE13" s="11" t="n">
        <v>35.77817531305904</v>
      </c>
      <c r="BF13" s="11" t="n">
        <v>36.29764065335753</v>
      </c>
      <c r="BG13" s="11" t="n">
        <v>37.3134328358209</v>
      </c>
      <c r="BH13" s="11" t="n">
        <v>36.90036900369004</v>
      </c>
      <c r="BI13" s="78">
        <f>SUM(E13:BH13)</f>
        <v/>
      </c>
      <c r="BJ13" s="79">
        <f>BI13*Weekly_Prices_VND!BH13</f>
        <v/>
      </c>
    </row>
    <row r="14" ht="19" customHeight="1">
      <c r="A14" s="68" t="n">
        <v>13</v>
      </c>
      <c r="B14" s="8" t="inlineStr">
        <is>
          <t>BID</t>
        </is>
      </c>
      <c r="C14" s="9" t="inlineStr">
        <is>
          <t>VN30 Index (Nhóm Trụ Cột)</t>
        </is>
      </c>
      <c r="D14" s="68" t="inlineStr">
        <is>
          <t>HOSE</t>
        </is>
      </c>
      <c r="E14" s="11" t="n">
        <v>30.13915223038556</v>
      </c>
      <c r="F14" s="11" t="n">
        <v>28.56772688271084</v>
      </c>
      <c r="G14" s="11" t="n">
        <v>29.67869565842418</v>
      </c>
      <c r="H14" s="11" t="n">
        <v>29.31229016236032</v>
      </c>
      <c r="I14" s="11" t="n">
        <v>30.09670329411945</v>
      </c>
      <c r="J14" s="11" t="n">
        <v>30.26722411957256</v>
      </c>
      <c r="K14" s="11" t="n">
        <v>29.84449618526717</v>
      </c>
      <c r="L14" s="11" t="n">
        <v>29.92809657890291</v>
      </c>
      <c r="M14" s="11" t="n">
        <v>29.43341706910541</v>
      </c>
      <c r="N14" s="11" t="n">
        <v>27.93288774558027</v>
      </c>
      <c r="O14" s="11" t="n">
        <v>27.89642232742467</v>
      </c>
      <c r="P14" s="11" t="n">
        <v>27.50149163363802</v>
      </c>
      <c r="Q14" s="11" t="n">
        <v>28.22808557785207</v>
      </c>
      <c r="R14" s="11" t="n">
        <v>26.41367047769845</v>
      </c>
      <c r="S14" s="11" t="n">
        <v>25.34835170362707</v>
      </c>
      <c r="T14" s="11" t="n">
        <v>25.25846264564439</v>
      </c>
      <c r="U14" s="11" t="n">
        <v>25.13960089115957</v>
      </c>
      <c r="V14" s="11" t="n">
        <v>24.61827252812349</v>
      </c>
      <c r="W14" s="11" t="n">
        <v>26.28371566728142</v>
      </c>
      <c r="X14" s="11" t="n">
        <v>26.18708297581827</v>
      </c>
      <c r="Y14" s="11" t="n">
        <v>26.12305674050376</v>
      </c>
      <c r="Z14" s="11" t="n">
        <v>26.644213366028</v>
      </c>
      <c r="AA14" s="11" t="n">
        <v>26.18708297581827</v>
      </c>
      <c r="AB14" s="11" t="n">
        <v>26.87881894469557</v>
      </c>
      <c r="AC14" s="11" t="n">
        <v>28.95482470511604</v>
      </c>
      <c r="AD14" s="11" t="n">
        <v>28.19084585972279</v>
      </c>
      <c r="AE14" s="11" t="n">
        <v>28.49154730359224</v>
      </c>
      <c r="AF14" s="11" t="n">
        <v>27.86005199382203</v>
      </c>
      <c r="AG14" s="11" t="n">
        <v>28.41576977543328</v>
      </c>
      <c r="AH14" s="11" t="n">
        <v>28.79873285575435</v>
      </c>
      <c r="AI14" s="11" t="n">
        <v>28.26542381242712</v>
      </c>
      <c r="AJ14" s="11" t="n">
        <v>28.87656621531992</v>
      </c>
      <c r="AK14" s="11" t="n">
        <v>28.34039739879434</v>
      </c>
      <c r="AL14" s="11" t="n">
        <v>27.53693418188683</v>
      </c>
      <c r="AM14" s="11" t="n">
        <v>27.46614315053399</v>
      </c>
      <c r="AN14" s="11" t="n">
        <v>23.20158488576256</v>
      </c>
      <c r="AO14" s="11" t="n">
        <v>20.90866954296997</v>
      </c>
      <c r="AP14" s="11" t="n">
        <v>21.03214599201238</v>
      </c>
      <c r="AQ14" s="11" t="n">
        <v>19.82250495446477</v>
      </c>
      <c r="AR14" s="11" t="n">
        <v>20.78663445387908</v>
      </c>
      <c r="AS14" s="11" t="n">
        <v>22.78108657240043</v>
      </c>
      <c r="AT14" s="11" t="n">
        <v>22.78108657240043</v>
      </c>
      <c r="AU14" s="11" t="n">
        <v>22.30549024374412</v>
      </c>
      <c r="AV14" s="11" t="n">
        <v>24.53347818307744</v>
      </c>
      <c r="AW14" s="11" t="n">
        <v>26.28371566728142</v>
      </c>
      <c r="AX14" s="11" t="n">
        <v>26.87881894469557</v>
      </c>
      <c r="AY14" s="11" t="n">
        <v>26.81136705609828</v>
      </c>
      <c r="AZ14" s="11" t="n">
        <v>27.36064082040881</v>
      </c>
      <c r="BA14" s="11" t="n">
        <v>26.18708297581827</v>
      </c>
      <c r="BB14" s="11" t="n">
        <v>26.51198579951761</v>
      </c>
      <c r="BC14" s="11" t="n">
        <v>26.21921393157932</v>
      </c>
      <c r="BD14" s="11" t="n">
        <v>26.644213366028</v>
      </c>
      <c r="BE14" s="11" t="n">
        <v>25.19889160312887</v>
      </c>
      <c r="BF14" s="11" t="n">
        <v>24.87620444314276</v>
      </c>
      <c r="BG14" s="11" t="n">
        <v>24.84727901426962</v>
      </c>
      <c r="BH14" s="11" t="n">
        <v>25.43888030768326</v>
      </c>
      <c r="BI14" s="78">
        <f>SUM(E14:BH14)</f>
        <v/>
      </c>
      <c r="BJ14" s="79">
        <f>BI14*Weekly_Prices_VND!BH14</f>
        <v/>
      </c>
    </row>
    <row r="15" ht="19" customHeight="1">
      <c r="A15" s="68" t="n">
        <v>14</v>
      </c>
      <c r="B15" s="8" t="inlineStr">
        <is>
          <t>ACB</t>
        </is>
      </c>
      <c r="C15" s="9" t="inlineStr">
        <is>
          <t>VN30 Index (Nhóm Trụ Cột)</t>
        </is>
      </c>
      <c r="D15" s="68" t="inlineStr">
        <is>
          <t>HOSE</t>
        </is>
      </c>
      <c r="E15" s="11" t="n">
        <v>53.80952521081353</v>
      </c>
      <c r="F15" s="11" t="n">
        <v>50.86105683117139</v>
      </c>
      <c r="G15" s="11" t="n">
        <v>44.22700651320414</v>
      </c>
      <c r="H15" s="11" t="n">
        <v>53.05164567344661</v>
      </c>
      <c r="I15" s="11" t="n">
        <v>53.80952521081353</v>
      </c>
      <c r="J15" s="11" t="n">
        <v>53.68171086128845</v>
      </c>
      <c r="K15" s="11" t="n">
        <v>53.05164567344661</v>
      </c>
      <c r="L15" s="11" t="n">
        <v>53.30188522105291</v>
      </c>
      <c r="M15" s="11" t="n">
        <v>52.80373932980298</v>
      </c>
      <c r="N15" s="11" t="n">
        <v>50.11086539604956</v>
      </c>
      <c r="O15" s="11" t="n">
        <v>50.33407769438465</v>
      </c>
      <c r="P15" s="11" t="n">
        <v>48.70689843793552</v>
      </c>
      <c r="Q15" s="11" t="n">
        <v>49.13043449056298</v>
      </c>
      <c r="R15" s="11" t="n">
        <v>46.31147633659941</v>
      </c>
      <c r="S15" s="11" t="n">
        <v>43.12977259995872</v>
      </c>
      <c r="T15" s="11" t="n">
        <v>38.37011831111226</v>
      </c>
      <c r="U15" s="11" t="n">
        <v>41.01633347304522</v>
      </c>
      <c r="V15" s="11" t="n">
        <v>40.86799143879436</v>
      </c>
      <c r="W15" s="11" t="n">
        <v>43.12977259995872</v>
      </c>
      <c r="X15" s="11" t="n">
        <v>44.22700651320414</v>
      </c>
      <c r="Y15" s="11" t="n">
        <v>44.05458052768611</v>
      </c>
      <c r="Z15" s="11" t="n">
        <v>43.88349378092897</v>
      </c>
      <c r="AA15" s="11" t="n">
        <v>41.9295006221044</v>
      </c>
      <c r="AB15" s="11" t="n">
        <v>42.9657801058368</v>
      </c>
      <c r="AC15" s="11" t="n">
        <v>45.29058020506195</v>
      </c>
      <c r="AD15" s="11" t="n">
        <v>45.01992175502427</v>
      </c>
      <c r="AE15" s="11" t="n">
        <v>45.38152567725722</v>
      </c>
      <c r="AF15" s="11" t="n">
        <v>45.29058020506195</v>
      </c>
      <c r="AG15" s="11" t="n">
        <v>45.74898959067522</v>
      </c>
      <c r="AH15" s="11" t="n">
        <v>46.59793653051605</v>
      </c>
      <c r="AI15" s="11" t="n">
        <v>46.40657233080635</v>
      </c>
      <c r="AJ15" s="11" t="n">
        <v>48.08510462454737</v>
      </c>
      <c r="AK15" s="11" t="n">
        <v>47.28033275750444</v>
      </c>
      <c r="AL15" s="11" t="n">
        <v>47.28033275750444</v>
      </c>
      <c r="AM15" s="11" t="n">
        <v>47.08333455946184</v>
      </c>
      <c r="AN15" s="11" t="n">
        <v>46.02851250591089</v>
      </c>
      <c r="AO15" s="11" t="n">
        <v>45.47283712935308</v>
      </c>
      <c r="AP15" s="11" t="n">
        <v>45.10978240873551</v>
      </c>
      <c r="AQ15" s="11" t="n">
        <v>46.88796688097764</v>
      </c>
      <c r="AR15" s="11" t="n">
        <v>49.13043449056298</v>
      </c>
      <c r="AS15" s="11" t="n">
        <v>47.37945352982481</v>
      </c>
      <c r="AT15" s="11" t="n">
        <v>47.37945352982481</v>
      </c>
      <c r="AU15" s="11" t="n">
        <v>46.02851250591089</v>
      </c>
      <c r="AV15" s="11" t="n">
        <v>48.49785472770728</v>
      </c>
      <c r="AW15" s="11" t="n">
        <v>48.18763209834644</v>
      </c>
      <c r="AX15" s="11" t="n">
        <v>49.13043449056298</v>
      </c>
      <c r="AY15" s="11" t="n">
        <v>47.47899077841156</v>
      </c>
      <c r="AZ15" s="11" t="n">
        <v>48.08510462454737</v>
      </c>
      <c r="BA15" s="11" t="n">
        <v>47.37945352982481</v>
      </c>
      <c r="BB15" s="11" t="n">
        <v>47.57894713365651</v>
      </c>
      <c r="BC15" s="11" t="n">
        <v>48.29059772630512</v>
      </c>
      <c r="BD15" s="11" t="n">
        <v>48.08510462454737</v>
      </c>
      <c r="BE15" s="11" t="n">
        <v>49.45295565441425</v>
      </c>
      <c r="BF15" s="11" t="n">
        <v>48.49785472770728</v>
      </c>
      <c r="BG15" s="11" t="n">
        <v>49.45295565441425</v>
      </c>
      <c r="BH15" s="11" t="n">
        <v>45.38152567725722</v>
      </c>
      <c r="BI15" s="78">
        <f>SUM(E15:BH15)</f>
        <v/>
      </c>
      <c r="BJ15" s="79">
        <f>BI15*Weekly_Prices_VND!BH15</f>
        <v/>
      </c>
    </row>
    <row r="16" ht="19" customHeight="1">
      <c r="A16" s="68" t="n">
        <v>15</v>
      </c>
      <c r="B16" s="8" t="inlineStr">
        <is>
          <t>MBB</t>
        </is>
      </c>
      <c r="C16" s="9" t="inlineStr">
        <is>
          <t>VN30 Index (Nhóm Trụ Cột)</t>
        </is>
      </c>
      <c r="D16" s="68" t="inlineStr">
        <is>
          <t>HOSE</t>
        </is>
      </c>
      <c r="E16" s="11" t="n">
        <v>64.45859875818999</v>
      </c>
      <c r="F16" s="11" t="n">
        <v>60.59880137464594</v>
      </c>
      <c r="G16" s="11" t="n">
        <v>61.58215007702279</v>
      </c>
      <c r="H16" s="11" t="n">
        <v>61.95918450821924</v>
      </c>
      <c r="I16" s="11" t="n">
        <v>62.21311491345573</v>
      </c>
      <c r="J16" s="11" t="n">
        <v>61.45748834288285</v>
      </c>
      <c r="K16" s="11" t="n">
        <v>60.47808874120056</v>
      </c>
      <c r="L16" s="11" t="n">
        <v>58.61003777027727</v>
      </c>
      <c r="M16" s="11" t="n">
        <v>58.49711096250712</v>
      </c>
      <c r="N16" s="11" t="n">
        <v>57.39130512759925</v>
      </c>
      <c r="O16" s="11" t="n">
        <v>56.74766287188838</v>
      </c>
      <c r="P16" s="11" t="n">
        <v>53.45070216684135</v>
      </c>
      <c r="Q16" s="11" t="n">
        <v>55.30054658973842</v>
      </c>
      <c r="R16" s="11" t="n">
        <v>49.36585128807269</v>
      </c>
      <c r="S16" s="11" t="n">
        <v>41.66666666666666</v>
      </c>
      <c r="T16" s="11" t="n">
        <v>40.78014325618293</v>
      </c>
      <c r="U16" s="11" t="n">
        <v>42.27941191650179</v>
      </c>
      <c r="V16" s="11" t="n">
        <v>40.70796558682162</v>
      </c>
      <c r="W16" s="11" t="n">
        <v>43.07116230896425</v>
      </c>
      <c r="X16" s="11" t="n">
        <v>42.91044807391593</v>
      </c>
      <c r="Y16" s="11" t="n">
        <v>43.31449998570283</v>
      </c>
      <c r="Z16" s="11" t="n">
        <v>42.91044807391593</v>
      </c>
      <c r="AA16" s="11" t="n">
        <v>42.0475307916039</v>
      </c>
      <c r="AB16" s="11" t="n">
        <v>42.27941191650179</v>
      </c>
      <c r="AC16" s="11" t="n">
        <v>45.63492169600048</v>
      </c>
      <c r="AD16" s="11" t="n">
        <v>48.01669930770611</v>
      </c>
      <c r="AE16" s="11" t="n">
        <v>49.35622421028836</v>
      </c>
      <c r="AF16" s="11" t="n">
        <v>48.93616878925706</v>
      </c>
      <c r="AG16" s="11" t="n">
        <v>49.56896781241011</v>
      </c>
      <c r="AH16" s="11" t="n">
        <v>49.46236725343976</v>
      </c>
      <c r="AI16" s="11" t="n">
        <v>45.72564772121501</v>
      </c>
      <c r="AJ16" s="11" t="n">
        <v>47.91666842142747</v>
      </c>
      <c r="AK16" s="11" t="n">
        <v>46.55870261265251</v>
      </c>
      <c r="AL16" s="11" t="n">
        <v>46.27766672342911</v>
      </c>
      <c r="AM16" s="11" t="n">
        <v>45.45454545454545</v>
      </c>
      <c r="AN16" s="11" t="n">
        <v>42.12454137111268</v>
      </c>
      <c r="AO16" s="11" t="n">
        <v>42.51386475110706</v>
      </c>
      <c r="AP16" s="11" t="n">
        <v>42.67161301780898</v>
      </c>
      <c r="AQ16" s="11" t="n">
        <v>42.27941191650179</v>
      </c>
      <c r="AR16" s="11" t="n">
        <v>42.0475307916039</v>
      </c>
      <c r="AS16" s="11" t="n">
        <v>40.6360429637263</v>
      </c>
      <c r="AT16" s="11" t="n">
        <v>40.6360429637263</v>
      </c>
      <c r="AU16" s="11" t="n">
        <v>40.35087608687292</v>
      </c>
      <c r="AV16" s="11" t="n">
        <v>43.07116230896425</v>
      </c>
      <c r="AW16" s="11" t="n">
        <v>43.97705462817701</v>
      </c>
      <c r="AX16" s="11" t="n">
        <v>44.315993460275</v>
      </c>
      <c r="AY16" s="11" t="n">
        <v>43.97705462817701</v>
      </c>
      <c r="AZ16" s="11" t="n">
        <v>44.315993460275</v>
      </c>
      <c r="BA16" s="11" t="n">
        <v>43.07116230896425</v>
      </c>
      <c r="BB16" s="11" t="n">
        <v>43.47826086956522</v>
      </c>
      <c r="BC16" s="11" t="n">
        <v>43.89312846215623</v>
      </c>
      <c r="BD16" s="11" t="n">
        <v>44.1458734860315</v>
      </c>
      <c r="BE16" s="11" t="n">
        <v>43.97705462817701</v>
      </c>
      <c r="BF16" s="11" t="n">
        <v>44.83430833359458</v>
      </c>
      <c r="BG16" s="11" t="n">
        <v>46.65314272244232</v>
      </c>
      <c r="BH16" s="11" t="n">
        <v>45.99999910156252</v>
      </c>
      <c r="BI16" s="78">
        <f>SUM(E16:BH16)</f>
        <v/>
      </c>
      <c r="BJ16" s="79">
        <f>BI16*Weekly_Prices_VND!BH16</f>
        <v/>
      </c>
    </row>
    <row r="17" ht="19" customHeight="1">
      <c r="A17" s="68" t="n">
        <v>16</v>
      </c>
      <c r="B17" s="8" t="inlineStr">
        <is>
          <t>CTG</t>
        </is>
      </c>
      <c r="C17" s="9" t="inlineStr">
        <is>
          <t>VN30 Index (Nhóm Trụ Cột)</t>
        </is>
      </c>
      <c r="D17" s="68" t="inlineStr">
        <is>
          <t>HOSE</t>
        </is>
      </c>
      <c r="E17" s="11" t="n">
        <v>38.51839881724442</v>
      </c>
      <c r="F17" s="11" t="n">
        <v>36.38656144791225</v>
      </c>
      <c r="G17" s="11" t="n">
        <v>37.22949445618652</v>
      </c>
      <c r="H17" s="11" t="n">
        <v>37.18164037409088</v>
      </c>
      <c r="I17" s="11" t="n">
        <v>37.51921760706534</v>
      </c>
      <c r="J17" s="11" t="n">
        <v>37.56794515080008</v>
      </c>
      <c r="K17" s="11" t="n">
        <v>35.53724400343712</v>
      </c>
      <c r="L17" s="11" t="n">
        <v>34.51947043087109</v>
      </c>
      <c r="M17" s="11" t="n">
        <v>34.03213763766315</v>
      </c>
      <c r="N17" s="11" t="n">
        <v>32.14146261232248</v>
      </c>
      <c r="O17" s="11" t="n">
        <v>32.14146261232248</v>
      </c>
      <c r="P17" s="11" t="n">
        <v>31.64914352905135</v>
      </c>
      <c r="Q17" s="11" t="n">
        <v>31.51123901884095</v>
      </c>
      <c r="R17" s="11" t="n">
        <v>30.22707975592105</v>
      </c>
      <c r="S17" s="11" t="n">
        <v>28.81206721405092</v>
      </c>
      <c r="T17" s="11" t="n">
        <v>27.92212084213989</v>
      </c>
      <c r="U17" s="11" t="n">
        <v>28.03034591527237</v>
      </c>
      <c r="V17" s="11" t="n">
        <v>28.36011406969631</v>
      </c>
      <c r="W17" s="11" t="n">
        <v>28.58430426919983</v>
      </c>
      <c r="X17" s="11" t="n">
        <v>28.24933258193051</v>
      </c>
      <c r="Y17" s="11" t="n">
        <v>28.75478848662762</v>
      </c>
      <c r="Z17" s="11" t="n">
        <v>28.08477212937426</v>
      </c>
      <c r="AA17" s="11" t="n">
        <v>26.29756121964391</v>
      </c>
      <c r="AB17" s="11" t="n">
        <v>26.88412281465424</v>
      </c>
      <c r="AC17" s="11" t="n">
        <v>29.10192813915451</v>
      </c>
      <c r="AD17" s="11" t="n">
        <v>29.39768056893699</v>
      </c>
      <c r="AE17" s="11" t="n">
        <v>29.51767088050636</v>
      </c>
      <c r="AF17" s="11" t="n">
        <v>29.79126447974735</v>
      </c>
      <c r="AG17" s="11" t="n">
        <v>29.45755184040082</v>
      </c>
      <c r="AH17" s="11" t="n">
        <v>29.51767088050636</v>
      </c>
      <c r="AI17" s="11" t="n">
        <v>28.08477212937426</v>
      </c>
      <c r="AJ17" s="11" t="n">
        <v>29.21951146574771</v>
      </c>
      <c r="AK17" s="11" t="n">
        <v>29.02757619738752</v>
      </c>
      <c r="AL17" s="11" t="n">
        <v>28.40909090909091</v>
      </c>
      <c r="AM17" s="11" t="n">
        <v>27.97202797202797</v>
      </c>
      <c r="AN17" s="11" t="n">
        <v>24.5398773006135</v>
      </c>
      <c r="AO17" s="11" t="n">
        <v>25.25252525252525</v>
      </c>
      <c r="AP17" s="11" t="n">
        <v>25.64102564102564</v>
      </c>
      <c r="AQ17" s="11" t="n">
        <v>25.80645161290322</v>
      </c>
      <c r="AR17" s="11" t="n">
        <v>26.7379679144385</v>
      </c>
      <c r="AS17" s="11" t="n">
        <v>25.90673575129534</v>
      </c>
      <c r="AT17" s="11" t="n">
        <v>25.90673575129534</v>
      </c>
      <c r="AU17" s="11" t="n">
        <v>26.1437908496732</v>
      </c>
      <c r="AV17" s="11" t="n">
        <v>28.05049088359046</v>
      </c>
      <c r="AW17" s="11" t="n">
        <v>29.41176470588235</v>
      </c>
      <c r="AX17" s="11" t="n">
        <v>29.76190476190476</v>
      </c>
      <c r="AY17" s="11" t="n">
        <v>28.73563218390805</v>
      </c>
      <c r="AZ17" s="11" t="n">
        <v>29.58579881656805</v>
      </c>
      <c r="BA17" s="11" t="n">
        <v>28.57142857142857</v>
      </c>
      <c r="BB17" s="11" t="n">
        <v>28.69440459110474</v>
      </c>
      <c r="BC17" s="11" t="n">
        <v>28.57142857142857</v>
      </c>
      <c r="BD17" s="11" t="n">
        <v>28.61230329041488</v>
      </c>
      <c r="BE17" s="11" t="n">
        <v>27.62430939226519</v>
      </c>
      <c r="BF17" s="11" t="n">
        <v>27.93296089385475</v>
      </c>
      <c r="BG17" s="11" t="n">
        <v>28.73563218390805</v>
      </c>
      <c r="BH17" s="11" t="n">
        <v>28.73563218390805</v>
      </c>
      <c r="BI17" s="78">
        <f>SUM(E17:BH17)</f>
        <v/>
      </c>
      <c r="BJ17" s="79">
        <f>BI17*Weekly_Prices_VND!BH17</f>
        <v/>
      </c>
    </row>
    <row r="18" ht="19" customHeight="1">
      <c r="A18" s="68" t="n">
        <v>17</v>
      </c>
      <c r="B18" s="8" t="inlineStr">
        <is>
          <t>VCB</t>
        </is>
      </c>
      <c r="C18" s="9" t="inlineStr">
        <is>
          <t>VN30 Index (Nhóm Trụ Cột)</t>
        </is>
      </c>
      <c r="D18" s="68" t="inlineStr">
        <is>
          <t>HOSE</t>
        </is>
      </c>
      <c r="E18" s="11" t="n">
        <v>17.51313485113835</v>
      </c>
      <c r="F18" s="11" t="n">
        <v>17.03577512776831</v>
      </c>
      <c r="G18" s="11" t="n">
        <v>17.57469244288225</v>
      </c>
      <c r="H18" s="11" t="n">
        <v>17.63668430335097</v>
      </c>
      <c r="I18" s="11" t="n">
        <v>17.76198934280639</v>
      </c>
      <c r="J18" s="11" t="n">
        <v>17.85714285714286</v>
      </c>
      <c r="K18" s="11" t="n">
        <v>17.6678445229682</v>
      </c>
      <c r="L18" s="11" t="n">
        <v>17.73049645390071</v>
      </c>
      <c r="M18" s="11" t="n">
        <v>17.27115716753022</v>
      </c>
      <c r="N18" s="11" t="n">
        <v>16.28664495114007</v>
      </c>
      <c r="O18" s="11" t="n">
        <v>16.07717041800643</v>
      </c>
      <c r="P18" s="11" t="n">
        <v>16.10305958132045</v>
      </c>
      <c r="Q18" s="11" t="n">
        <v>16.61129568106312</v>
      </c>
      <c r="R18" s="11" t="n">
        <v>16.20745542949757</v>
      </c>
      <c r="S18" s="11" t="n">
        <v>15.33742331288344</v>
      </c>
      <c r="T18" s="11" t="n">
        <v>15.57632398753894</v>
      </c>
      <c r="U18" s="11" t="n">
        <v>14.49275362318841</v>
      </c>
      <c r="V18" s="11" t="n">
        <v>14.51378809869376</v>
      </c>
      <c r="W18" s="11" t="n">
        <v>15.220700152207</v>
      </c>
      <c r="X18" s="11" t="n">
        <v>15.64945226917058</v>
      </c>
      <c r="Y18" s="11" t="n">
        <v>15.87301587301587</v>
      </c>
      <c r="Z18" s="11" t="n">
        <v>16.10305958132045</v>
      </c>
      <c r="AA18" s="11" t="n">
        <v>15.67398119122257</v>
      </c>
      <c r="AB18" s="11" t="n">
        <v>15.89825119236884</v>
      </c>
      <c r="AC18" s="11" t="n">
        <v>16.72240802675585</v>
      </c>
      <c r="AD18" s="11" t="n">
        <v>16.5016501650165</v>
      </c>
      <c r="AE18" s="11" t="n">
        <v>16.86340640809443</v>
      </c>
      <c r="AF18" s="11" t="n">
        <v>16.66666666666667</v>
      </c>
      <c r="AG18" s="11" t="n">
        <v>16.94915254237288</v>
      </c>
      <c r="AH18" s="11" t="n">
        <v>17.42160278745645</v>
      </c>
      <c r="AI18" s="11" t="n">
        <v>17.15265866209262</v>
      </c>
      <c r="AJ18" s="11" t="n">
        <v>17.6056338028169</v>
      </c>
      <c r="AK18" s="11" t="n">
        <v>17.39130434782609</v>
      </c>
      <c r="AL18" s="11" t="n">
        <v>17.51313485113835</v>
      </c>
      <c r="AM18" s="11" t="n">
        <v>17.39130434782609</v>
      </c>
      <c r="AN18" s="11" t="n">
        <v>14.70588235294118</v>
      </c>
      <c r="AO18" s="11" t="n">
        <v>13.6986301369863</v>
      </c>
      <c r="AP18" s="11" t="n">
        <v>14.57725947521866</v>
      </c>
      <c r="AQ18" s="11" t="n">
        <v>14.18439716312057</v>
      </c>
      <c r="AR18" s="11" t="n">
        <v>15.36098310291859</v>
      </c>
      <c r="AS18" s="11" t="n">
        <v>15.52795031055901</v>
      </c>
      <c r="AT18" s="11" t="n">
        <v>15.52795031055901</v>
      </c>
      <c r="AU18" s="11" t="n">
        <v>15.40832049306626</v>
      </c>
      <c r="AV18" s="11" t="n">
        <v>16.23376623376623</v>
      </c>
      <c r="AW18" s="11" t="n">
        <v>16.94915254237288</v>
      </c>
      <c r="AX18" s="11" t="n">
        <v>17.24137931034483</v>
      </c>
      <c r="AY18" s="11" t="n">
        <v>17.00680272108843</v>
      </c>
      <c r="AZ18" s="11" t="n">
        <v>17.33102253032929</v>
      </c>
      <c r="BA18" s="11" t="n">
        <v>16.72240802675585</v>
      </c>
      <c r="BB18" s="11" t="n">
        <v>16.80672268907563</v>
      </c>
      <c r="BC18" s="11" t="n">
        <v>16.5016501650165</v>
      </c>
      <c r="BD18" s="11" t="n">
        <v>16.72240802675585</v>
      </c>
      <c r="BE18" s="11" t="n">
        <v>16.47446457990115</v>
      </c>
      <c r="BF18" s="11" t="n">
        <v>16.47446457990115</v>
      </c>
      <c r="BG18" s="11" t="n">
        <v>15.74803149606299</v>
      </c>
      <c r="BH18" s="11" t="n">
        <v>16.12903225806452</v>
      </c>
      <c r="BI18" s="78">
        <f>SUM(E18:BH18)</f>
        <v/>
      </c>
      <c r="BJ18" s="79">
        <f>BI18*Weekly_Prices_VND!BH18</f>
        <v/>
      </c>
    </row>
    <row r="19" ht="19" customHeight="1">
      <c r="A19" s="68" t="n">
        <v>18</v>
      </c>
      <c r="B19" s="8" t="inlineStr">
        <is>
          <t>HPG</t>
        </is>
      </c>
      <c r="C19" s="9" t="inlineStr">
        <is>
          <t>VN30 Index (Nhóm Trụ Cột)</t>
        </is>
      </c>
      <c r="D19" s="68" t="inlineStr">
        <is>
          <t>HOSE</t>
        </is>
      </c>
      <c r="E19" s="11" t="n">
        <v>51.36186692360975</v>
      </c>
      <c r="F19" s="11" t="n">
        <v>50.47801298034216</v>
      </c>
      <c r="G19" s="11" t="n">
        <v>51.46198783386342</v>
      </c>
      <c r="H19" s="11" t="n">
        <v>51.66340524603536</v>
      </c>
      <c r="I19" s="11" t="n">
        <v>51.26213483363185</v>
      </c>
      <c r="J19" s="11" t="n">
        <v>49.25372904600145</v>
      </c>
      <c r="K19" s="11" t="n">
        <v>49.07063382295028</v>
      </c>
      <c r="L19" s="11" t="n">
        <v>48.24561238193488</v>
      </c>
      <c r="M19" s="11" t="n">
        <v>47.61904761904762</v>
      </c>
      <c r="N19" s="11" t="n">
        <v>43.73757387336025</v>
      </c>
      <c r="O19" s="11" t="n">
        <v>42.30769294332471</v>
      </c>
      <c r="P19" s="11" t="n">
        <v>42.30769294332471</v>
      </c>
      <c r="Q19" s="11" t="n">
        <v>44.08817600757628</v>
      </c>
      <c r="R19" s="11" t="n">
        <v>38.59648990554791</v>
      </c>
      <c r="S19" s="11" t="n">
        <v>39.00709273890588</v>
      </c>
      <c r="T19" s="11" t="n">
        <v>40.14598397061816</v>
      </c>
      <c r="U19" s="11" t="n">
        <v>40.59040648913755</v>
      </c>
      <c r="V19" s="11" t="n">
        <v>36.85092175527274</v>
      </c>
      <c r="W19" s="11" t="n">
        <v>37.73584905660378</v>
      </c>
      <c r="X19" s="11" t="n">
        <v>37.73584905660378</v>
      </c>
      <c r="Y19" s="11" t="n">
        <v>38.19444418542179</v>
      </c>
      <c r="Z19" s="11" t="n">
        <v>39.14590665704431</v>
      </c>
      <c r="AA19" s="11" t="n">
        <v>37.99654602491193</v>
      </c>
      <c r="AB19" s="11" t="n">
        <v>38.93805282813846</v>
      </c>
      <c r="AC19" s="11" t="n">
        <v>41.50943549194559</v>
      </c>
      <c r="AD19" s="11" t="n">
        <v>40.89219419926654</v>
      </c>
      <c r="AE19" s="11" t="n">
        <v>42.22648720739498</v>
      </c>
      <c r="AF19" s="11" t="n">
        <v>40.89219419926654</v>
      </c>
      <c r="AG19" s="11" t="n">
        <v>40.14598397061816</v>
      </c>
      <c r="AH19" s="11" t="n">
        <v>41.43126237981495</v>
      </c>
      <c r="AI19" s="11" t="n">
        <v>40.7407398566101</v>
      </c>
      <c r="AJ19" s="11" t="n">
        <v>42.30769294332471</v>
      </c>
      <c r="AK19" s="11" t="n">
        <v>41.19850307813972</v>
      </c>
      <c r="AL19" s="11" t="n">
        <v>40.89219419926654</v>
      </c>
      <c r="AM19" s="11" t="n">
        <v>41.66666666666666</v>
      </c>
      <c r="AN19" s="11" t="n">
        <v>41.98473313741005</v>
      </c>
      <c r="AO19" s="11" t="n">
        <v>39.85507387394821</v>
      </c>
      <c r="AP19" s="11" t="n">
        <v>41.12149562734737</v>
      </c>
      <c r="AQ19" s="11" t="n">
        <v>41.04477552115241</v>
      </c>
      <c r="AR19" s="11" t="n">
        <v>41.04477552115241</v>
      </c>
      <c r="AS19" s="11" t="n">
        <v>40.96834115425901</v>
      </c>
      <c r="AT19" s="11" t="n">
        <v>40.96834115425901</v>
      </c>
      <c r="AU19" s="11" t="n">
        <v>38.19444418542179</v>
      </c>
      <c r="AV19" s="11" t="n">
        <v>40.36697363437425</v>
      </c>
      <c r="AW19" s="11" t="n">
        <v>41.27579616335025</v>
      </c>
      <c r="AX19" s="11" t="n">
        <v>42.47104151021715</v>
      </c>
      <c r="AY19" s="11" t="n">
        <v>41.50943549194559</v>
      </c>
      <c r="AZ19" s="11" t="n">
        <v>41.27579616335025</v>
      </c>
      <c r="BA19" s="11" t="n">
        <v>39.28571510782049</v>
      </c>
      <c r="BB19" s="11" t="n">
        <v>39.28571510782049</v>
      </c>
      <c r="BC19" s="11" t="n">
        <v>39.42652274548439</v>
      </c>
      <c r="BD19" s="11" t="n">
        <v>39.63963852365882</v>
      </c>
      <c r="BE19" s="11" t="n">
        <v>39.49730727879059</v>
      </c>
      <c r="BF19" s="11" t="n">
        <v>41.43126237981495</v>
      </c>
      <c r="BG19" s="11" t="n">
        <v>41.74573147857266</v>
      </c>
      <c r="BH19" s="11" t="n">
        <v>41.66666666666666</v>
      </c>
      <c r="BI19" s="78">
        <f>SUM(E19:BH19)</f>
        <v/>
      </c>
      <c r="BJ19" s="79">
        <f>BI19*Weekly_Prices_VND!BH19</f>
        <v/>
      </c>
    </row>
    <row r="20" ht="19" customHeight="1">
      <c r="A20" s="68" t="n">
        <v>19</v>
      </c>
      <c r="B20" s="8" t="inlineStr">
        <is>
          <t>SAB</t>
        </is>
      </c>
      <c r="C20" s="9" t="inlineStr">
        <is>
          <t>VN30 Index (Nhóm Trụ Cột)</t>
        </is>
      </c>
      <c r="D20" s="68" t="inlineStr">
        <is>
          <t>HOSE</t>
        </is>
      </c>
      <c r="E20" s="11" t="n">
        <v>20.59732234809475</v>
      </c>
      <c r="F20" s="11" t="n">
        <v>19.88071570576541</v>
      </c>
      <c r="G20" s="11" t="n">
        <v>20.14098690835851</v>
      </c>
      <c r="H20" s="11" t="n">
        <v>20.30456852791878</v>
      </c>
      <c r="I20" s="11" t="n">
        <v>20.2020202020202</v>
      </c>
      <c r="J20" s="11" t="n">
        <v>20.22244691607684</v>
      </c>
      <c r="K20" s="11" t="n">
        <v>20.22244691607684</v>
      </c>
      <c r="L20" s="11" t="n">
        <v>19.8019801980198</v>
      </c>
      <c r="M20" s="11" t="n">
        <v>21.62162162162162</v>
      </c>
      <c r="N20" s="11" t="n">
        <v>20.79002079002079</v>
      </c>
      <c r="O20" s="11" t="n">
        <v>20.66115702479339</v>
      </c>
      <c r="P20" s="11" t="n">
        <v>20.40816326530612</v>
      </c>
      <c r="Q20" s="11" t="n">
        <v>20.98635886673662</v>
      </c>
      <c r="R20" s="11" t="n">
        <v>20.9643605870021</v>
      </c>
      <c r="S20" s="11" t="n">
        <v>20.8768267223382</v>
      </c>
      <c r="T20" s="11" t="n">
        <v>21.45922746781116</v>
      </c>
      <c r="U20" s="11" t="n">
        <v>21.48227712137487</v>
      </c>
      <c r="V20" s="11" t="n">
        <v>21.23142250530785</v>
      </c>
      <c r="W20" s="11" t="n">
        <v>21.55172413793104</v>
      </c>
      <c r="X20" s="11" t="n">
        <v>21.36752136752137</v>
      </c>
      <c r="Y20" s="11" t="n">
        <v>21.81025081788441</v>
      </c>
      <c r="Z20" s="11" t="n">
        <v>22.02643171806167</v>
      </c>
      <c r="AA20" s="11" t="n">
        <v>21.92982456140351</v>
      </c>
      <c r="AB20" s="11" t="n">
        <v>22.12389380530973</v>
      </c>
      <c r="AC20" s="11" t="n">
        <v>22.002200220022</v>
      </c>
      <c r="AD20" s="11" t="n">
        <v>21.88183807439825</v>
      </c>
      <c r="AE20" s="11" t="n">
        <v>21.69197396963123</v>
      </c>
      <c r="AF20" s="11" t="n">
        <v>21.23142250530785</v>
      </c>
      <c r="AG20" s="11" t="n">
        <v>21.41327623126338</v>
      </c>
      <c r="AH20" s="11" t="n">
        <v>21.55172413793104</v>
      </c>
      <c r="AI20" s="11" t="n">
        <v>20.08032128514056</v>
      </c>
      <c r="AJ20" s="11" t="n">
        <v>20</v>
      </c>
      <c r="AK20" s="11" t="n">
        <v>20.12072434607646</v>
      </c>
      <c r="AL20" s="11" t="n">
        <v>20.51282051282051</v>
      </c>
      <c r="AM20" s="11" t="n">
        <v>20.40816326530612</v>
      </c>
      <c r="AN20" s="11" t="n">
        <v>20.42900919305414</v>
      </c>
      <c r="AO20" s="11" t="n">
        <v>19.04761904761905</v>
      </c>
      <c r="AP20" s="11" t="n">
        <v>20.28397565922921</v>
      </c>
      <c r="AQ20" s="11" t="n">
        <v>20.04008016032064</v>
      </c>
      <c r="AR20" s="11" t="n">
        <v>20.51282051282051</v>
      </c>
      <c r="AS20" s="11" t="n">
        <v>20.61855670103093</v>
      </c>
      <c r="AT20" s="11" t="n">
        <v>20.61855670103093</v>
      </c>
      <c r="AU20" s="11" t="n">
        <v>20.66115702479339</v>
      </c>
      <c r="AV20" s="11" t="n">
        <v>21.92982456140351</v>
      </c>
      <c r="AW20" s="11" t="n">
        <v>22.52252252252252</v>
      </c>
      <c r="AX20" s="11" t="n">
        <v>23.47417840375587</v>
      </c>
      <c r="AY20" s="11" t="n">
        <v>22.65005662514156</v>
      </c>
      <c r="AZ20" s="11" t="n">
        <v>22.67573696145125</v>
      </c>
      <c r="BA20" s="11" t="n">
        <v>21.83406113537118</v>
      </c>
      <c r="BB20" s="11" t="n">
        <v>21.97802197802198</v>
      </c>
      <c r="BC20" s="11" t="n">
        <v>21.27659574468085</v>
      </c>
      <c r="BD20" s="11" t="n">
        <v>21.05263157894737</v>
      </c>
      <c r="BE20" s="11" t="n">
        <v>21.62162162162162</v>
      </c>
      <c r="BF20" s="11" t="n">
        <v>20.59732234809475</v>
      </c>
      <c r="BG20" s="11" t="n">
        <v>20.79002079002079</v>
      </c>
      <c r="BH20" s="11" t="n">
        <v>21.29925452609159</v>
      </c>
      <c r="BI20" s="78">
        <f>SUM(E20:BH20)</f>
        <v/>
      </c>
      <c r="BJ20" s="79">
        <f>BI20*Weekly_Prices_VND!BH20</f>
        <v/>
      </c>
    </row>
    <row r="21" ht="19" customHeight="1">
      <c r="A21" s="68" t="n">
        <v>20</v>
      </c>
      <c r="B21" s="8" t="inlineStr">
        <is>
          <t>MWG</t>
        </is>
      </c>
      <c r="C21" s="9" t="inlineStr">
        <is>
          <t>VN30 Index (Nhóm Trụ Cột)</t>
        </is>
      </c>
      <c r="D21" s="68" t="inlineStr">
        <is>
          <t>HOSE</t>
        </is>
      </c>
      <c r="E21" s="11" t="n">
        <v>16.58374792703151</v>
      </c>
      <c r="F21" s="11" t="n">
        <v>15.55209953343701</v>
      </c>
      <c r="G21" s="11" t="n">
        <v>15.55209953343701</v>
      </c>
      <c r="H21" s="11" t="n">
        <v>15.55209953343701</v>
      </c>
      <c r="I21" s="11" t="n">
        <v>16.20745542949757</v>
      </c>
      <c r="J21" s="11" t="n">
        <v>15.74803149606299</v>
      </c>
      <c r="K21" s="11" t="n">
        <v>15.625</v>
      </c>
      <c r="L21" s="11" t="n">
        <v>15.50387596899225</v>
      </c>
      <c r="M21" s="11" t="n">
        <v>15.29051987767584</v>
      </c>
      <c r="N21" s="11" t="n">
        <v>14.70588235294118</v>
      </c>
      <c r="O21" s="11" t="n">
        <v>14.18439716312057</v>
      </c>
      <c r="P21" s="11" t="n">
        <v>14.38848920863309</v>
      </c>
      <c r="Q21" s="11" t="n">
        <v>15.31393568147014</v>
      </c>
      <c r="R21" s="11" t="n">
        <v>13.8121546961326</v>
      </c>
      <c r="S21" s="11" t="n">
        <v>13.90820584144645</v>
      </c>
      <c r="T21" s="11" t="n">
        <v>14.08450704225352</v>
      </c>
      <c r="U21" s="11" t="n">
        <v>12.9366106080207</v>
      </c>
      <c r="V21" s="11" t="n">
        <v>12.90322580645161</v>
      </c>
      <c r="W21" s="11" t="n">
        <v>12.69035532994924</v>
      </c>
      <c r="X21" s="11" t="n">
        <v>12.73885350318471</v>
      </c>
      <c r="Y21" s="11" t="n">
        <v>12.65822784810127</v>
      </c>
      <c r="Z21" s="11" t="n">
        <v>12.97016861219196</v>
      </c>
      <c r="AA21" s="11" t="n">
        <v>12.26993865030675</v>
      </c>
      <c r="AB21" s="11" t="n">
        <v>11.83431952662722</v>
      </c>
      <c r="AC21" s="11" t="n">
        <v>11.66861143523921</v>
      </c>
      <c r="AD21" s="11" t="n">
        <v>11.91895113230036</v>
      </c>
      <c r="AE21" s="11" t="n">
        <v>13.0718954248366</v>
      </c>
      <c r="AF21" s="11" t="n">
        <v>12.28501228501229</v>
      </c>
      <c r="AG21" s="11" t="n">
        <v>12.5</v>
      </c>
      <c r="AH21" s="11" t="n">
        <v>12.51564455569462</v>
      </c>
      <c r="AI21" s="11" t="n">
        <v>11.75088131609871</v>
      </c>
      <c r="AJ21" s="11" t="n">
        <v>12.73885350318471</v>
      </c>
      <c r="AK21" s="11" t="n">
        <v>12.0627261761158</v>
      </c>
      <c r="AL21" s="11" t="n">
        <v>11.49425287356322</v>
      </c>
      <c r="AM21" s="11" t="n">
        <v>11.31221719457014</v>
      </c>
      <c r="AN21" s="11" t="n">
        <v>11.62790697674419</v>
      </c>
      <c r="AO21" s="11" t="n">
        <v>11.49425287356322</v>
      </c>
      <c r="AP21" s="11" t="n">
        <v>11.65501165501166</v>
      </c>
      <c r="AQ21" s="11" t="n">
        <v>10.76426264800861</v>
      </c>
      <c r="AR21" s="11" t="n">
        <v>11.31221719457014</v>
      </c>
      <c r="AS21" s="11" t="n">
        <v>10.77586206896552</v>
      </c>
      <c r="AT21" s="11" t="n">
        <v>10.77586206896552</v>
      </c>
      <c r="AU21" s="11" t="n">
        <v>10.74113856068743</v>
      </c>
      <c r="AV21" s="11" t="n">
        <v>12.0918984280532</v>
      </c>
      <c r="AW21" s="11" t="n">
        <v>12.19512195121951</v>
      </c>
      <c r="AX21" s="11" t="n">
        <v>12.54705144291092</v>
      </c>
      <c r="AY21" s="11" t="n">
        <v>12.34567901234568</v>
      </c>
      <c r="AZ21" s="11" t="n">
        <v>12.61034047919294</v>
      </c>
      <c r="BA21" s="11" t="n">
        <v>12.26993865030675</v>
      </c>
      <c r="BB21" s="11" t="n">
        <v>11.50747986191024</v>
      </c>
      <c r="BC21" s="11" t="n">
        <v>11.97604790419162</v>
      </c>
      <c r="BD21" s="11" t="n">
        <v>11.90476190476191</v>
      </c>
      <c r="BE21" s="11" t="n">
        <v>11.82033096926714</v>
      </c>
      <c r="BF21" s="11" t="n">
        <v>12.19512195121951</v>
      </c>
      <c r="BG21" s="11" t="n">
        <v>12.59445843828715</v>
      </c>
      <c r="BH21" s="11" t="n">
        <v>13.10615989515072</v>
      </c>
      <c r="BI21" s="78">
        <f>SUM(E21:BH21)</f>
        <v/>
      </c>
      <c r="BJ21" s="79">
        <f>BI21*Weekly_Prices_VND!BH21</f>
        <v/>
      </c>
    </row>
    <row r="22" ht="19" customHeight="1">
      <c r="A22" s="68" t="n">
        <v>21</v>
      </c>
      <c r="B22" s="8" t="inlineStr">
        <is>
          <t>TPB</t>
        </is>
      </c>
      <c r="C22" s="9" t="inlineStr">
        <is>
          <t>VN30 Index (Nhóm Trụ Cột)</t>
        </is>
      </c>
      <c r="D22" s="68" t="inlineStr">
        <is>
          <t>HOSE</t>
        </is>
      </c>
      <c r="E22" s="11" t="n">
        <v>74.73309738401318</v>
      </c>
      <c r="F22" s="11" t="n">
        <v>76.36363527892564</v>
      </c>
      <c r="G22" s="11" t="n">
        <v>78.94736639218323</v>
      </c>
      <c r="H22" s="11" t="n">
        <v>78.35821181051087</v>
      </c>
      <c r="I22" s="11" t="n">
        <v>79.84790844875866</v>
      </c>
      <c r="J22" s="11" t="n">
        <v>78.94736639218323</v>
      </c>
      <c r="K22" s="11" t="n">
        <v>78.35821181051087</v>
      </c>
      <c r="L22" s="11" t="n">
        <v>78.65168280421514</v>
      </c>
      <c r="M22" s="11" t="n">
        <v>76.36363527892564</v>
      </c>
      <c r="N22" s="11" t="n">
        <v>70.70706931212379</v>
      </c>
      <c r="O22" s="11" t="n">
        <v>70.46979681025071</v>
      </c>
      <c r="P22" s="11" t="n">
        <v>67.30769357173403</v>
      </c>
      <c r="Q22" s="11" t="n">
        <v>66.8789813077166</v>
      </c>
      <c r="R22" s="11" t="n">
        <v>53.98457854598021</v>
      </c>
      <c r="S22" s="11" t="n">
        <v>53.0303038149607</v>
      </c>
      <c r="T22" s="11" t="n">
        <v>47.61904761904762</v>
      </c>
      <c r="U22" s="11" t="n">
        <v>50.48077017880052</v>
      </c>
      <c r="V22" s="11" t="n">
        <v>48.83720708406581</v>
      </c>
      <c r="W22" s="11" t="n">
        <v>53.43511609718261</v>
      </c>
      <c r="X22" s="11" t="n">
        <v>55.70291806046356</v>
      </c>
      <c r="Y22" s="11" t="n">
        <v>54.12370861571215</v>
      </c>
      <c r="Z22" s="11" t="n">
        <v>55.85106441002186</v>
      </c>
      <c r="AA22" s="11" t="n">
        <v>52.49999974365235</v>
      </c>
      <c r="AB22" s="11" t="n">
        <v>53.16455801353952</v>
      </c>
      <c r="AC22" s="11" t="n">
        <v>58.98876436857424</v>
      </c>
      <c r="AD22" s="11" t="n">
        <v>58.30903790087464</v>
      </c>
      <c r="AE22" s="11" t="n">
        <v>60.60606060606061</v>
      </c>
      <c r="AF22" s="11" t="n">
        <v>58.99705014749262</v>
      </c>
      <c r="AG22" s="11" t="n">
        <v>57.97101449275362</v>
      </c>
      <c r="AH22" s="11" t="n">
        <v>57.80346820809248</v>
      </c>
      <c r="AI22" s="11" t="n">
        <v>57.47126436781609</v>
      </c>
      <c r="AJ22" s="11" t="n">
        <v>61.16207951070336</v>
      </c>
      <c r="AK22" s="11" t="n">
        <v>59.34718100890208</v>
      </c>
      <c r="AL22" s="11" t="n">
        <v>58.99705014749262</v>
      </c>
      <c r="AM22" s="11" t="n">
        <v>58.47953216374269</v>
      </c>
      <c r="AN22" s="11" t="n">
        <v>56.81818181818182</v>
      </c>
      <c r="AO22" s="11" t="n">
        <v>57.47126436781609</v>
      </c>
      <c r="AP22" s="11" t="n">
        <v>57.97101449275362</v>
      </c>
      <c r="AQ22" s="11" t="n">
        <v>58.13953488372093</v>
      </c>
      <c r="AR22" s="11" t="n">
        <v>59.52380952380953</v>
      </c>
      <c r="AS22" s="11" t="n">
        <v>57.14285714285715</v>
      </c>
      <c r="AT22" s="11" t="n">
        <v>57.14285714285715</v>
      </c>
      <c r="AU22" s="11" t="n">
        <v>54.34782608695652</v>
      </c>
      <c r="AV22" s="11" t="n">
        <v>59.34718100890208</v>
      </c>
      <c r="AW22" s="11" t="n">
        <v>62.5</v>
      </c>
      <c r="AX22" s="11" t="n">
        <v>63.29113924050633</v>
      </c>
      <c r="AY22" s="11" t="n">
        <v>61.53846153846154</v>
      </c>
      <c r="AZ22" s="11" t="n">
        <v>62.5</v>
      </c>
      <c r="BA22" s="11" t="n">
        <v>61.34969325153374</v>
      </c>
      <c r="BB22" s="11" t="n">
        <v>61.53846153846154</v>
      </c>
      <c r="BC22" s="11" t="n">
        <v>61.34969325153374</v>
      </c>
      <c r="BD22" s="11" t="n">
        <v>61.53846153846154</v>
      </c>
      <c r="BE22" s="11" t="n">
        <v>62.5</v>
      </c>
      <c r="BF22" s="11" t="n">
        <v>63.69426751592356</v>
      </c>
      <c r="BG22" s="11" t="n">
        <v>64.30868167202573</v>
      </c>
      <c r="BH22" s="11" t="n">
        <v>62.89308176100629</v>
      </c>
      <c r="BI22" s="78">
        <f>SUM(E22:BH22)</f>
        <v/>
      </c>
      <c r="BJ22" s="79">
        <f>BI22*Weekly_Prices_VND!BH22</f>
        <v/>
      </c>
    </row>
    <row r="23" ht="19" customHeight="1">
      <c r="A23" s="68" t="n">
        <v>22</v>
      </c>
      <c r="B23" s="8" t="inlineStr">
        <is>
          <t>MSN</t>
        </is>
      </c>
      <c r="C23" s="9" t="inlineStr">
        <is>
          <t>VN30 Index (Nhóm Trụ Cột)</t>
        </is>
      </c>
      <c r="D23" s="68" t="inlineStr">
        <is>
          <t>HOSE</t>
        </is>
      </c>
      <c r="E23" s="11" t="n">
        <v>15.87301587301587</v>
      </c>
      <c r="F23" s="11" t="n">
        <v>15.92356687898089</v>
      </c>
      <c r="G23" s="11" t="n">
        <v>15.625</v>
      </c>
      <c r="H23" s="11" t="n">
        <v>15.77287066246057</v>
      </c>
      <c r="I23" s="11" t="n">
        <v>15.19756838905775</v>
      </c>
      <c r="J23" s="11" t="n">
        <v>15.19756838905775</v>
      </c>
      <c r="K23" s="11" t="n">
        <v>14.81481481481481</v>
      </c>
      <c r="L23" s="11" t="n">
        <v>13.88888888888889</v>
      </c>
      <c r="M23" s="11" t="n">
        <v>13.42281879194631</v>
      </c>
      <c r="N23" s="11" t="n">
        <v>13.0039011703511</v>
      </c>
      <c r="O23" s="11" t="n">
        <v>13.12335958005249</v>
      </c>
      <c r="P23" s="11" t="n">
        <v>13.1578947368421</v>
      </c>
      <c r="Q23" s="11" t="n">
        <v>13.79310344827586</v>
      </c>
      <c r="R23" s="11" t="n">
        <v>13.12335958005249</v>
      </c>
      <c r="S23" s="11" t="n">
        <v>11.79245283018868</v>
      </c>
      <c r="T23" s="11" t="n">
        <v>11.86239620403322</v>
      </c>
      <c r="U23" s="11" t="n">
        <v>12.03369434416366</v>
      </c>
      <c r="V23" s="11" t="n">
        <v>11.79245283018868</v>
      </c>
      <c r="W23" s="11" t="n">
        <v>12.19512195121951</v>
      </c>
      <c r="X23" s="11" t="n">
        <v>11.90476190476191</v>
      </c>
      <c r="Y23" s="11" t="n">
        <v>12.1654501216545</v>
      </c>
      <c r="Z23" s="11" t="n">
        <v>12.26993865030675</v>
      </c>
      <c r="AA23" s="11" t="n">
        <v>12.03369434416366</v>
      </c>
      <c r="AB23" s="11" t="n">
        <v>11.33786848072562</v>
      </c>
      <c r="AC23" s="11" t="n">
        <v>12.78772378516624</v>
      </c>
      <c r="AD23" s="11" t="n">
        <v>12.61034047919294</v>
      </c>
      <c r="AE23" s="11" t="n">
        <v>13.02083333333333</v>
      </c>
      <c r="AF23" s="11" t="n">
        <v>12.82051282051282</v>
      </c>
      <c r="AG23" s="11" t="n">
        <v>12.90322580645161</v>
      </c>
      <c r="AH23" s="11" t="n">
        <v>12.91989664082687</v>
      </c>
      <c r="AI23" s="11" t="n">
        <v>12.78772378516624</v>
      </c>
      <c r="AJ23" s="11" t="n">
        <v>13.60544217687075</v>
      </c>
      <c r="AK23" s="11" t="n">
        <v>13.19261213720317</v>
      </c>
      <c r="AL23" s="11" t="n">
        <v>13.28021248339974</v>
      </c>
      <c r="AM23" s="11" t="n">
        <v>12.98701298701299</v>
      </c>
      <c r="AN23" s="11" t="n">
        <v>13.0718954248366</v>
      </c>
      <c r="AO23" s="11" t="n">
        <v>12.28501228501229</v>
      </c>
      <c r="AP23" s="11" t="n">
        <v>12.65822784810127</v>
      </c>
      <c r="AQ23" s="11" t="n">
        <v>11.90476190476191</v>
      </c>
      <c r="AR23" s="11" t="n">
        <v>12.78772378516624</v>
      </c>
      <c r="AS23" s="11" t="n">
        <v>12.82051282051282</v>
      </c>
      <c r="AT23" s="11" t="n">
        <v>12.82051282051282</v>
      </c>
      <c r="AU23" s="11" t="n">
        <v>12.65822784810127</v>
      </c>
      <c r="AV23" s="11" t="n">
        <v>13.64256480218281</v>
      </c>
      <c r="AW23" s="11" t="n">
        <v>13.53179972936401</v>
      </c>
      <c r="AX23" s="11" t="n">
        <v>14.02524544179523</v>
      </c>
      <c r="AY23" s="11" t="n">
        <v>13.64256480218281</v>
      </c>
      <c r="AZ23" s="11" t="n">
        <v>13.28021248339974</v>
      </c>
      <c r="BA23" s="11" t="n">
        <v>12.82051282051282</v>
      </c>
      <c r="BB23" s="11" t="n">
        <v>12.57861635220126</v>
      </c>
      <c r="BC23" s="11" t="n">
        <v>12.95336787564767</v>
      </c>
      <c r="BD23" s="11" t="n">
        <v>13.02083333333333</v>
      </c>
      <c r="BE23" s="11" t="n">
        <v>12.46882793017456</v>
      </c>
      <c r="BF23" s="11" t="n">
        <v>12.90322580645161</v>
      </c>
      <c r="BG23" s="11" t="n">
        <v>13.1578947368421</v>
      </c>
      <c r="BH23" s="11" t="n">
        <v>13.38688085676037</v>
      </c>
      <c r="BI23" s="78">
        <f>SUM(E23:BH23)</f>
        <v/>
      </c>
      <c r="BJ23" s="79">
        <f>BI23*Weekly_Prices_VND!BH23</f>
        <v/>
      </c>
    </row>
    <row r="24" ht="19" customHeight="1">
      <c r="A24" s="68" t="n">
        <v>23</v>
      </c>
      <c r="B24" s="8" t="inlineStr">
        <is>
          <t>VNM</t>
        </is>
      </c>
      <c r="C24" s="9" t="inlineStr">
        <is>
          <t>VN30 Index (Nhóm Trụ Cột)</t>
        </is>
      </c>
      <c r="D24" s="68" t="inlineStr">
        <is>
          <t>HOSE</t>
        </is>
      </c>
      <c r="E24" s="11" t="n">
        <v>17.42160278745645</v>
      </c>
      <c r="F24" s="11" t="n">
        <v>17.6056338028169</v>
      </c>
      <c r="G24" s="11" t="n">
        <v>18.18181818181818</v>
      </c>
      <c r="H24" s="11" t="n">
        <v>18.14882032667877</v>
      </c>
      <c r="I24" s="11" t="n">
        <v>17.76198934280639</v>
      </c>
      <c r="J24" s="11" t="n">
        <v>17.88908765652952</v>
      </c>
      <c r="K24" s="11" t="n">
        <v>17.825311942959</v>
      </c>
      <c r="L24" s="11" t="n">
        <v>17.73049645390071</v>
      </c>
      <c r="M24" s="11" t="n">
        <v>17.39130434782609</v>
      </c>
      <c r="N24" s="11" t="n">
        <v>16.75041876046901</v>
      </c>
      <c r="O24" s="11" t="n">
        <v>16.63893510815308</v>
      </c>
      <c r="P24" s="11" t="n">
        <v>15.69858712715856</v>
      </c>
      <c r="Q24" s="11" t="n">
        <v>16.33986928104575</v>
      </c>
      <c r="R24" s="11" t="n">
        <v>16.42036124794745</v>
      </c>
      <c r="S24" s="11" t="n">
        <v>16.20745542949757</v>
      </c>
      <c r="T24" s="11" t="n">
        <v>16.63893510815308</v>
      </c>
      <c r="U24" s="11" t="n">
        <v>16.39344262295082</v>
      </c>
      <c r="V24" s="11" t="n">
        <v>16.18122977346278</v>
      </c>
      <c r="W24" s="11" t="n">
        <v>16.33986928104575</v>
      </c>
      <c r="X24" s="11" t="n">
        <v>15.72327044025157</v>
      </c>
      <c r="Y24" s="11" t="n">
        <v>16.26016260162602</v>
      </c>
      <c r="Z24" s="11" t="n">
        <v>16.33986928104575</v>
      </c>
      <c r="AA24" s="11" t="n">
        <v>15.89825119236884</v>
      </c>
      <c r="AB24" s="11" t="n">
        <v>16.33986928104575</v>
      </c>
      <c r="AC24" s="11" t="n">
        <v>17.6678445229682</v>
      </c>
      <c r="AD24" s="11" t="n">
        <v>17.51313485113835</v>
      </c>
      <c r="AE24" s="11" t="n">
        <v>17.36111111111111</v>
      </c>
      <c r="AF24" s="11" t="n">
        <v>15.92356687898089</v>
      </c>
      <c r="AG24" s="11" t="n">
        <v>16.69449081803005</v>
      </c>
      <c r="AH24" s="11" t="n">
        <v>15.625</v>
      </c>
      <c r="AI24" s="11" t="n">
        <v>15.77287066246057</v>
      </c>
      <c r="AJ24" s="11" t="n">
        <v>16.61129568106312</v>
      </c>
      <c r="AK24" s="11" t="n">
        <v>15.625</v>
      </c>
      <c r="AL24" s="11" t="n">
        <v>16.26016260162602</v>
      </c>
      <c r="AM24" s="11" t="n">
        <v>16.33986928104575</v>
      </c>
      <c r="AN24" s="11" t="n">
        <v>16.39344262295082</v>
      </c>
      <c r="AO24" s="11" t="n">
        <v>14.36781609195402</v>
      </c>
      <c r="AP24" s="11" t="n">
        <v>14.88095238095238</v>
      </c>
      <c r="AQ24" s="11" t="n">
        <v>14.1643059490085</v>
      </c>
      <c r="AR24" s="11" t="n">
        <v>14.47178002894356</v>
      </c>
      <c r="AS24" s="11" t="n">
        <v>14.38848920863309</v>
      </c>
      <c r="AT24" s="11" t="n">
        <v>14.38848920863309</v>
      </c>
      <c r="AU24" s="11" t="n">
        <v>14.66275659824047</v>
      </c>
      <c r="AV24" s="11" t="n">
        <v>16.02564102564103</v>
      </c>
      <c r="AW24" s="11" t="n">
        <v>15.84786053882726</v>
      </c>
      <c r="AX24" s="11" t="n">
        <v>16.66666666666667</v>
      </c>
      <c r="AY24" s="11" t="n">
        <v>16.26016260162602</v>
      </c>
      <c r="AZ24" s="11" t="n">
        <v>16.66666666666667</v>
      </c>
      <c r="BA24" s="11" t="n">
        <v>15.92356687898089</v>
      </c>
      <c r="BB24" s="11" t="n">
        <v>16.31321370309951</v>
      </c>
      <c r="BC24" s="11" t="n">
        <v>16.28664495114007</v>
      </c>
      <c r="BD24" s="11" t="n">
        <v>16.42036124794745</v>
      </c>
      <c r="BE24" s="11" t="n">
        <v>16.42036124794745</v>
      </c>
      <c r="BF24" s="11" t="n">
        <v>16.72240802675585</v>
      </c>
      <c r="BG24" s="11" t="n">
        <v>16.80672268907563</v>
      </c>
      <c r="BH24" s="11" t="n">
        <v>16.89189189189189</v>
      </c>
      <c r="BI24" s="78">
        <f>SUM(E24:BH24)</f>
        <v/>
      </c>
      <c r="BJ24" s="79">
        <f>BI24*Weekly_Prices_VND!BH24</f>
        <v/>
      </c>
    </row>
    <row r="25" ht="19" customHeight="1">
      <c r="A25" s="68" t="n">
        <v>24</v>
      </c>
      <c r="B25" s="8" t="inlineStr">
        <is>
          <t>TCB</t>
        </is>
      </c>
      <c r="C25" s="9" t="inlineStr">
        <is>
          <t>VN30 Index (Nhóm Trụ Cột)</t>
        </is>
      </c>
      <c r="D25" s="68" t="inlineStr">
        <is>
          <t>HOSE</t>
        </is>
      </c>
      <c r="E25" s="11" t="n">
        <v>36.4963503649635</v>
      </c>
      <c r="F25" s="11" t="n">
        <v>33.44481605351171</v>
      </c>
      <c r="G25" s="11" t="n">
        <v>32.78688524590164</v>
      </c>
      <c r="H25" s="11" t="n">
        <v>32.46753246753246</v>
      </c>
      <c r="I25" s="11" t="n">
        <v>32.15434083601286</v>
      </c>
      <c r="J25" s="11" t="n">
        <v>32.31017770597738</v>
      </c>
      <c r="K25" s="11" t="n">
        <v>29.41176470588235</v>
      </c>
      <c r="L25" s="11" t="n">
        <v>29.36857562408223</v>
      </c>
      <c r="M25" s="11" t="n">
        <v>28.69440459110474</v>
      </c>
      <c r="N25" s="11" t="n">
        <v>28.73563218390805</v>
      </c>
      <c r="O25" s="11" t="n">
        <v>28.44950213371266</v>
      </c>
      <c r="P25" s="11" t="n">
        <v>28.53067047075606</v>
      </c>
      <c r="Q25" s="11" t="n">
        <v>29.41176470588235</v>
      </c>
      <c r="R25" s="11" t="n">
        <v>26.04166666666667</v>
      </c>
      <c r="S25" s="11" t="n">
        <v>26.04166666666667</v>
      </c>
      <c r="T25" s="11" t="n">
        <v>24.06738868832732</v>
      </c>
      <c r="U25" s="11" t="n">
        <v>25.25252525252525</v>
      </c>
      <c r="V25" s="11" t="n">
        <v>25.25252525252525</v>
      </c>
      <c r="W25" s="11" t="n">
        <v>25.83979328165375</v>
      </c>
      <c r="X25" s="11" t="n">
        <v>25.77319587628866</v>
      </c>
      <c r="Y25" s="11" t="n">
        <v>25.70694087403599</v>
      </c>
      <c r="Z25" s="11" t="n">
        <v>25.74002574002574</v>
      </c>
      <c r="AA25" s="11" t="n">
        <v>25.67394094993582</v>
      </c>
      <c r="AB25" s="11" t="n">
        <v>24.24242424242424</v>
      </c>
      <c r="AC25" s="11" t="n">
        <v>26.84563758389262</v>
      </c>
      <c r="AD25" s="11" t="n">
        <v>28.01120448179272</v>
      </c>
      <c r="AE25" s="11" t="n">
        <v>30.3030303030303</v>
      </c>
      <c r="AF25" s="11" t="n">
        <v>28.49002849002849</v>
      </c>
      <c r="AG25" s="11" t="n">
        <v>29.1970802919708</v>
      </c>
      <c r="AH25" s="11" t="n">
        <v>29.62962962962963</v>
      </c>
      <c r="AI25" s="11" t="n">
        <v>28.81844380403458</v>
      </c>
      <c r="AJ25" s="11" t="n">
        <v>31.25</v>
      </c>
      <c r="AK25" s="11" t="n">
        <v>29.76190476190476</v>
      </c>
      <c r="AL25" s="11" t="n">
        <v>29.49852507374631</v>
      </c>
      <c r="AM25" s="11" t="n">
        <v>28.65329512893983</v>
      </c>
      <c r="AN25" s="11" t="n">
        <v>27.28512960436562</v>
      </c>
      <c r="AO25" s="11" t="n">
        <v>27.93296089385475</v>
      </c>
      <c r="AP25" s="11" t="n">
        <v>27.3972602739726</v>
      </c>
      <c r="AQ25" s="11" t="n">
        <v>27.85515320334262</v>
      </c>
      <c r="AR25" s="11" t="n">
        <v>28.90173410404624</v>
      </c>
      <c r="AS25" s="11" t="n">
        <v>28.20874471086037</v>
      </c>
      <c r="AT25" s="11" t="n">
        <v>28.20874471086037</v>
      </c>
      <c r="AU25" s="11" t="n">
        <v>27.58620689655172</v>
      </c>
      <c r="AV25" s="11" t="n">
        <v>31.79650238473768</v>
      </c>
      <c r="AW25" s="11" t="n">
        <v>33.33333333333334</v>
      </c>
      <c r="AX25" s="11" t="n">
        <v>33.50083752093802</v>
      </c>
      <c r="AY25" s="11" t="n">
        <v>32.62642740619902</v>
      </c>
      <c r="AZ25" s="11" t="n">
        <v>33.61344537815126</v>
      </c>
      <c r="BA25" s="11" t="n">
        <v>31.00775193798449</v>
      </c>
      <c r="BB25" s="11" t="n">
        <v>31.00775193798449</v>
      </c>
      <c r="BC25" s="11" t="n">
        <v>29.1970802919708</v>
      </c>
      <c r="BD25" s="11" t="n">
        <v>29.54209748892171</v>
      </c>
      <c r="BE25" s="11" t="n">
        <v>29.54209748892171</v>
      </c>
      <c r="BF25" s="11" t="n">
        <v>29.36857562408223</v>
      </c>
      <c r="BG25" s="11" t="n">
        <v>31.05590062111801</v>
      </c>
      <c r="BH25" s="11" t="n">
        <v>30.53435114503817</v>
      </c>
      <c r="BI25" s="78">
        <f>SUM(E25:BH25)</f>
        <v/>
      </c>
      <c r="BJ25" s="79">
        <f>BI25*Weekly_Prices_VND!BH25</f>
        <v/>
      </c>
    </row>
    <row r="26" ht="19" customHeight="1">
      <c r="A26" s="68" t="n">
        <v>25</v>
      </c>
      <c r="B26" s="8" t="inlineStr">
        <is>
          <t>SSI</t>
        </is>
      </c>
      <c r="C26" s="9" t="inlineStr">
        <is>
          <t>VN30 Index (Nhóm Trụ Cột)</t>
        </is>
      </c>
      <c r="D26" s="68" t="inlineStr">
        <is>
          <t>HOSE</t>
        </is>
      </c>
      <c r="E26" s="11" t="n">
        <v>57.0323315396368</v>
      </c>
      <c r="F26" s="11" t="n">
        <v>55.12329584769778</v>
      </c>
      <c r="G26" s="11" t="n">
        <v>56.42170463634338</v>
      </c>
      <c r="H26" s="11" t="n">
        <v>56.0615634803588</v>
      </c>
      <c r="I26" s="11" t="n">
        <v>55.0082190014719</v>
      </c>
      <c r="J26" s="11" t="n">
        <v>55.70599680495644</v>
      </c>
      <c r="K26" s="11" t="n">
        <v>55.12329584769778</v>
      </c>
      <c r="L26" s="11" t="n">
        <v>53.77333928340934</v>
      </c>
      <c r="M26" s="11" t="n">
        <v>51.16298358137887</v>
      </c>
      <c r="N26" s="11" t="n">
        <v>45.50766061915483</v>
      </c>
      <c r="O26" s="11" t="n">
        <v>41.2992718664117</v>
      </c>
      <c r="P26" s="11" t="n">
        <v>41.17021180787406</v>
      </c>
      <c r="Q26" s="11" t="n">
        <v>38.52183589953716</v>
      </c>
      <c r="R26" s="11" t="n">
        <v>37.48070512333421</v>
      </c>
      <c r="S26" s="11" t="n">
        <v>35.80018518205164</v>
      </c>
      <c r="T26" s="11" t="n">
        <v>35.55861754762216</v>
      </c>
      <c r="U26" s="11" t="n">
        <v>31.3677804250469</v>
      </c>
      <c r="V26" s="11" t="n">
        <v>31.14531418139834</v>
      </c>
      <c r="W26" s="11" t="n">
        <v>31.0352611483871</v>
      </c>
      <c r="X26" s="11" t="n">
        <v>32.29036301683816</v>
      </c>
      <c r="Y26" s="11" t="n">
        <v>33.78068772597845</v>
      </c>
      <c r="Z26" s="11" t="n">
        <v>34.80704929765901</v>
      </c>
      <c r="AA26" s="11" t="n">
        <v>32.40951652280829</v>
      </c>
      <c r="AB26" s="11" t="n">
        <v>31.86086559126704</v>
      </c>
      <c r="AC26" s="11" t="n">
        <v>35.13191588403805</v>
      </c>
      <c r="AD26" s="11" t="n">
        <v>37.80335066159186</v>
      </c>
      <c r="AE26" s="11" t="n">
        <v>39.98321017541462</v>
      </c>
      <c r="AF26" s="11" t="n">
        <v>37.69518670749919</v>
      </c>
      <c r="AG26" s="11" t="n">
        <v>38.40952748329223</v>
      </c>
      <c r="AH26" s="11" t="n">
        <v>40.16606156076529</v>
      </c>
      <c r="AI26" s="11" t="n">
        <v>40.85106491625173</v>
      </c>
      <c r="AJ26" s="11" t="n">
        <v>42.7046275218146</v>
      </c>
      <c r="AK26" s="11" t="n">
        <v>38.96103994929586</v>
      </c>
      <c r="AL26" s="11" t="n">
        <v>39.02439024390244</v>
      </c>
      <c r="AM26" s="11" t="n">
        <v>39.66942046308315</v>
      </c>
      <c r="AN26" s="11" t="n">
        <v>39.53871600954273</v>
      </c>
      <c r="AO26" s="11" t="n">
        <v>36.75344475609101</v>
      </c>
      <c r="AP26" s="11" t="n">
        <v>37.61755393765787</v>
      </c>
      <c r="AQ26" s="11" t="n">
        <v>38.52327351215706</v>
      </c>
      <c r="AR26" s="11" t="n">
        <v>40.13378031286006</v>
      </c>
      <c r="AS26" s="11" t="n">
        <v>38.21656146040409</v>
      </c>
      <c r="AT26" s="11" t="n">
        <v>38.21656146040409</v>
      </c>
      <c r="AU26" s="11" t="n">
        <v>37.03703703703704</v>
      </c>
      <c r="AV26" s="11" t="n">
        <v>38.09523809523809</v>
      </c>
      <c r="AW26" s="11" t="n">
        <v>42.25352228910437</v>
      </c>
      <c r="AX26" s="11" t="n">
        <v>44.52690037897436</v>
      </c>
      <c r="AY26" s="11" t="n">
        <v>44.36229333301448</v>
      </c>
      <c r="AZ26" s="11" t="n">
        <v>44.44444444444444</v>
      </c>
      <c r="BA26" s="11" t="n">
        <v>41.95804081189792</v>
      </c>
      <c r="BB26" s="11" t="n">
        <v>42.03152479289417</v>
      </c>
      <c r="BC26" s="11" t="n">
        <v>43.32129841715652</v>
      </c>
      <c r="BD26" s="11" t="n">
        <v>43.39963956260284</v>
      </c>
      <c r="BE26" s="11" t="n">
        <v>42.40282568455097</v>
      </c>
      <c r="BF26" s="11" t="n">
        <v>43.01075268817204</v>
      </c>
      <c r="BG26" s="11" t="n">
        <v>43.55716754885528</v>
      </c>
      <c r="BH26" s="11" t="n">
        <v>43.63636487603309</v>
      </c>
      <c r="BI26" s="78">
        <f>SUM(E26:BH26)</f>
        <v/>
      </c>
      <c r="BJ26" s="79">
        <f>BI26*Weekly_Prices_VND!BH26</f>
        <v/>
      </c>
    </row>
    <row r="27" ht="19" customHeight="1">
      <c r="A27" s="68" t="n">
        <v>26</v>
      </c>
      <c r="B27" s="8" t="inlineStr">
        <is>
          <t>SSB</t>
        </is>
      </c>
      <c r="C27" s="9" t="inlineStr">
        <is>
          <t>VN30 Index (Nhóm Trụ Cột)</t>
        </is>
      </c>
      <c r="D27" s="68" t="inlineStr">
        <is>
          <t>HOSE</t>
        </is>
      </c>
      <c r="E27" s="11" t="n">
        <v>64.44930429682378</v>
      </c>
      <c r="F27" s="11" t="n">
        <v>62.1238142177629</v>
      </c>
      <c r="G27" s="11" t="n">
        <v>64.62209265268262</v>
      </c>
      <c r="H27" s="11" t="n">
        <v>65.50010803679929</v>
      </c>
      <c r="I27" s="11" t="n">
        <v>66.58574504539308</v>
      </c>
      <c r="J27" s="11" t="n">
        <v>66.40231541761253</v>
      </c>
      <c r="K27" s="11" t="n">
        <v>66.58574504539308</v>
      </c>
      <c r="L27" s="11" t="n">
        <v>66.40231541761253</v>
      </c>
      <c r="M27" s="11" t="n">
        <v>65.85803207839267</v>
      </c>
      <c r="N27" s="11" t="n">
        <v>62.77093720319431</v>
      </c>
      <c r="O27" s="11" t="n">
        <v>60.26010001058083</v>
      </c>
      <c r="P27" s="11" t="n">
        <v>60.41112603035187</v>
      </c>
      <c r="Q27" s="11" t="n">
        <v>61.805230593565</v>
      </c>
      <c r="R27" s="11" t="n">
        <v>60.86878781711212</v>
      </c>
      <c r="S27" s="11" t="n">
        <v>57.94240411861851</v>
      </c>
      <c r="T27" s="11" t="n">
        <v>52.17324492821542</v>
      </c>
      <c r="U27" s="11" t="n">
        <v>56.05590437826174</v>
      </c>
      <c r="V27" s="11" t="n">
        <v>55.66753089058699</v>
      </c>
      <c r="W27" s="11" t="n">
        <v>59.96029504212679</v>
      </c>
      <c r="X27" s="11" t="n">
        <v>60.26010001058083</v>
      </c>
      <c r="Y27" s="11" t="n">
        <v>61.96411478997494</v>
      </c>
      <c r="Z27" s="11" t="n">
        <v>62.44569922626486</v>
      </c>
      <c r="AA27" s="11" t="n">
        <v>63.09958081297032</v>
      </c>
      <c r="AB27" s="11" t="n">
        <v>63.43168382873644</v>
      </c>
      <c r="AC27" s="11" t="n">
        <v>66.40231541761253</v>
      </c>
      <c r="AD27" s="11" t="n">
        <v>67.32971975253434</v>
      </c>
      <c r="AE27" s="11" t="n">
        <v>70.06988239071322</v>
      </c>
      <c r="AF27" s="11" t="n">
        <v>70.89423383410694</v>
      </c>
      <c r="AG27" s="11" t="n">
        <v>70.27417014543254</v>
      </c>
      <c r="AH27" s="11" t="n">
        <v>69.66485422391142</v>
      </c>
      <c r="AI27" s="11" t="n">
        <v>68.09050744517168</v>
      </c>
      <c r="AJ27" s="11" t="n">
        <v>69.66485422391142</v>
      </c>
      <c r="AK27" s="11" t="n">
        <v>68.86868456844455</v>
      </c>
      <c r="AL27" s="11" t="n">
        <v>69.66485422391142</v>
      </c>
      <c r="AM27" s="11" t="n">
        <v>69.06601834539133</v>
      </c>
      <c r="AN27" s="11" t="n">
        <v>69.4640933385766</v>
      </c>
      <c r="AO27" s="11" t="n">
        <v>66.95566580282524</v>
      </c>
      <c r="AP27" s="11" t="n">
        <v>68.28340065205313</v>
      </c>
      <c r="AQ27" s="11" t="n">
        <v>70.27417014543254</v>
      </c>
      <c r="AR27" s="11" t="n">
        <v>71.73821269006949</v>
      </c>
      <c r="AS27" s="11" t="n">
        <v>70.89423383410694</v>
      </c>
      <c r="AT27" s="11" t="n">
        <v>70.89423383410694</v>
      </c>
      <c r="AU27" s="11" t="n">
        <v>71.31372628357221</v>
      </c>
      <c r="AV27" s="11" t="n">
        <v>70.89423383410694</v>
      </c>
      <c r="AW27" s="11" t="n">
        <v>72.82187392727299</v>
      </c>
      <c r="AX27" s="11" t="n">
        <v>71.31372628357221</v>
      </c>
      <c r="AY27" s="11" t="n">
        <v>71.31372628357221</v>
      </c>
      <c r="AZ27" s="11" t="n">
        <v>71.73821269006949</v>
      </c>
      <c r="BA27" s="11" t="n">
        <v>70.27417014543254</v>
      </c>
      <c r="BB27" s="11" t="n">
        <v>71.52534218310431</v>
      </c>
      <c r="BC27" s="11" t="n">
        <v>72.38450536147225</v>
      </c>
      <c r="BD27" s="11" t="n">
        <v>72.16778276538909</v>
      </c>
      <c r="BE27" s="11" t="n">
        <v>71.73821269006949</v>
      </c>
      <c r="BF27" s="11" t="n">
        <v>73.04254364381146</v>
      </c>
      <c r="BG27" s="11" t="n">
        <v>72.16778276538909</v>
      </c>
      <c r="BH27" s="11" t="n">
        <v>71.42857142857143</v>
      </c>
      <c r="BI27" s="78">
        <f>SUM(E27:BH27)</f>
        <v/>
      </c>
      <c r="BJ27" s="79">
        <f>BI27*Weekly_Prices_VND!BH27</f>
        <v/>
      </c>
    </row>
    <row r="28" ht="19" customHeight="1">
      <c r="A28" s="68" t="n">
        <v>27</v>
      </c>
      <c r="B28" s="8" t="inlineStr">
        <is>
          <t>SHB</t>
        </is>
      </c>
      <c r="C28" s="9" t="inlineStr">
        <is>
          <t>VN30 Index (Nhóm Trụ Cột)</t>
        </is>
      </c>
      <c r="D28" s="68" t="inlineStr">
        <is>
          <t>HOSE</t>
        </is>
      </c>
      <c r="E28" s="11" t="n">
        <v>87.59689551127502</v>
      </c>
      <c r="F28" s="11" t="n">
        <v>82.48175352986061</v>
      </c>
      <c r="G28" s="11" t="n">
        <v>84.01486702144898</v>
      </c>
      <c r="H28" s="11" t="n">
        <v>83.08823386222024</v>
      </c>
      <c r="I28" s="11" t="n">
        <v>82.48175352986061</v>
      </c>
      <c r="J28" s="11" t="n">
        <v>84.96240869756195</v>
      </c>
      <c r="K28" s="11" t="n">
        <v>86.92307672718658</v>
      </c>
      <c r="L28" s="11" t="n">
        <v>86.25954519991744</v>
      </c>
      <c r="M28" s="11" t="n">
        <v>86.92307672718658</v>
      </c>
      <c r="N28" s="11" t="n">
        <v>78.74564342034778</v>
      </c>
      <c r="O28" s="11" t="n">
        <v>79.02097945269328</v>
      </c>
      <c r="P28" s="11" t="n">
        <v>75.0830569656033</v>
      </c>
      <c r="Q28" s="11" t="n">
        <v>65.69767303846413</v>
      </c>
      <c r="R28" s="11" t="n">
        <v>59.94694929155468</v>
      </c>
      <c r="S28" s="11" t="n">
        <v>55.39215590814683</v>
      </c>
      <c r="T28" s="11" t="n">
        <v>54.05405405405406</v>
      </c>
      <c r="U28" s="11" t="n">
        <v>54.34782608695652</v>
      </c>
      <c r="V28" s="11" t="n">
        <v>53.05039787798408</v>
      </c>
      <c r="W28" s="11" t="n">
        <v>56.17977528089887</v>
      </c>
      <c r="X28" s="11" t="n">
        <v>56.02240896358543</v>
      </c>
      <c r="Y28" s="11" t="n">
        <v>57.63688760806917</v>
      </c>
      <c r="Z28" s="11" t="n">
        <v>58.8235294117647</v>
      </c>
      <c r="AA28" s="11" t="n">
        <v>55.8659217877095</v>
      </c>
      <c r="AB28" s="11" t="n">
        <v>55.09641873278237</v>
      </c>
      <c r="AC28" s="11" t="n">
        <v>59.88023952095809</v>
      </c>
      <c r="AD28" s="11" t="n">
        <v>59.17159763313609</v>
      </c>
      <c r="AE28" s="11" t="n">
        <v>65.359477124183</v>
      </c>
      <c r="AF28" s="11" t="n">
        <v>61.16207951070336</v>
      </c>
      <c r="AG28" s="11" t="n">
        <v>60.06006006006006</v>
      </c>
      <c r="AH28" s="11" t="n">
        <v>59.52380952380953</v>
      </c>
      <c r="AI28" s="11" t="n">
        <v>59.70149253731343</v>
      </c>
      <c r="AJ28" s="11" t="n">
        <v>62.5</v>
      </c>
      <c r="AK28" s="11" t="n">
        <v>61.91950464396285</v>
      </c>
      <c r="AL28" s="11" t="n">
        <v>61.16207951070336</v>
      </c>
      <c r="AM28" s="11" t="n">
        <v>61.16207951070336</v>
      </c>
      <c r="AN28" s="11" t="n">
        <v>60.60606060606061</v>
      </c>
      <c r="AO28" s="11" t="n">
        <v>61.16207951070336</v>
      </c>
      <c r="AP28" s="11" t="n">
        <v>61.34969325153374</v>
      </c>
      <c r="AQ28" s="11" t="n">
        <v>62.5</v>
      </c>
      <c r="AR28" s="11" t="n">
        <v>65.14657980456026</v>
      </c>
      <c r="AS28" s="11" t="n">
        <v>64.72491909385113</v>
      </c>
      <c r="AT28" s="11" t="n">
        <v>64.72491909385113</v>
      </c>
      <c r="AU28" s="11" t="n">
        <v>62.69592476489028</v>
      </c>
      <c r="AV28" s="11" t="n">
        <v>64.93506493506493</v>
      </c>
      <c r="AW28" s="11" t="n">
        <v>66.88963210702342</v>
      </c>
      <c r="AX28" s="11" t="n">
        <v>67.11409395973155</v>
      </c>
      <c r="AY28" s="11" t="n">
        <v>66.00086999974927</v>
      </c>
      <c r="AZ28" s="11" t="n">
        <v>67.11409395973155</v>
      </c>
      <c r="BA28" s="11" t="n">
        <v>64.93506493506493</v>
      </c>
      <c r="BB28" s="11" t="n">
        <v>65.359477124183</v>
      </c>
      <c r="BC28" s="11" t="n">
        <v>67.79661016949153</v>
      </c>
      <c r="BD28" s="11" t="n">
        <v>68.72852233676976</v>
      </c>
      <c r="BE28" s="11" t="n">
        <v>70.17543859649123</v>
      </c>
      <c r="BF28" s="11" t="n">
        <v>71.94244604316546</v>
      </c>
      <c r="BG28" s="11" t="n">
        <v>73.80073800738008</v>
      </c>
      <c r="BH28" s="11" t="n">
        <v>72.46376811594203</v>
      </c>
      <c r="BI28" s="78">
        <f>SUM(E28:BH28)</f>
        <v/>
      </c>
      <c r="BJ28" s="79">
        <f>BI28*Weekly_Prices_VND!BH28</f>
        <v/>
      </c>
    </row>
    <row r="29" ht="19" customHeight="1">
      <c r="A29" s="68" t="n">
        <v>28</v>
      </c>
      <c r="B29" s="8" t="inlineStr">
        <is>
          <t>VIB</t>
        </is>
      </c>
      <c r="C29" s="9" t="inlineStr">
        <is>
          <t>VN30 Index (Nhóm Trụ Cột)</t>
        </is>
      </c>
      <c r="D29" s="68" t="inlineStr">
        <is>
          <t>HOSE</t>
        </is>
      </c>
      <c r="E29" s="11" t="n">
        <v>70.92613673160032</v>
      </c>
      <c r="F29" s="11" t="n">
        <v>66.5760002101305</v>
      </c>
      <c r="G29" s="11" t="n">
        <v>68.7768579843182</v>
      </c>
      <c r="H29" s="11" t="n">
        <v>68.21311482398885</v>
      </c>
      <c r="I29" s="11" t="n">
        <v>69.35000153396244</v>
      </c>
      <c r="J29" s="11" t="n">
        <v>69.35000153396244</v>
      </c>
      <c r="K29" s="11" t="n">
        <v>69.35000153396244</v>
      </c>
      <c r="L29" s="11" t="n">
        <v>68.96685031560079</v>
      </c>
      <c r="M29" s="11" t="n">
        <v>68.02724703829031</v>
      </c>
      <c r="N29" s="11" t="n">
        <v>65.35601893511941</v>
      </c>
      <c r="O29" s="11" t="n">
        <v>64.22287344048644</v>
      </c>
      <c r="P29" s="11" t="n">
        <v>59.67302677792112</v>
      </c>
      <c r="Q29" s="11" t="n">
        <v>56.4433003897013</v>
      </c>
      <c r="R29" s="11" t="n">
        <v>56.01023149400619</v>
      </c>
      <c r="S29" s="11" t="n">
        <v>53.54523301536319</v>
      </c>
      <c r="T29" s="11" t="n">
        <v>46.79487120899851</v>
      </c>
      <c r="U29" s="11" t="n">
        <v>49.43566580524375</v>
      </c>
      <c r="V29" s="11" t="n">
        <v>47.71241787430182</v>
      </c>
      <c r="W29" s="11" t="n">
        <v>52.1428575793208</v>
      </c>
      <c r="X29" s="11" t="n">
        <v>53.28467221652893</v>
      </c>
      <c r="Y29" s="11" t="n">
        <v>54.47761289314855</v>
      </c>
      <c r="Z29" s="11" t="n">
        <v>55.58375755754547</v>
      </c>
      <c r="AA29" s="11" t="n">
        <v>53.67647135909454</v>
      </c>
      <c r="AB29" s="11" t="n">
        <v>54.75000101586916</v>
      </c>
      <c r="AC29" s="11" t="n">
        <v>59.18919131380121</v>
      </c>
      <c r="AD29" s="11" t="n">
        <v>58.40000191625006</v>
      </c>
      <c r="AE29" s="11" t="n">
        <v>59.83606787279974</v>
      </c>
      <c r="AF29" s="11" t="n">
        <v>59.18919131380121</v>
      </c>
      <c r="AG29" s="11" t="n">
        <v>59.02965167778526</v>
      </c>
      <c r="AH29" s="11" t="n">
        <v>59.18919131380121</v>
      </c>
      <c r="AI29" s="11" t="n">
        <v>58.71313872756473</v>
      </c>
      <c r="AJ29" s="11" t="n">
        <v>63.2947970626022</v>
      </c>
      <c r="AK29" s="11" t="n">
        <v>62.2159082796554</v>
      </c>
      <c r="AL29" s="11" t="n">
        <v>62.2159082796554</v>
      </c>
      <c r="AM29" s="11" t="n">
        <v>61.69013994564882</v>
      </c>
      <c r="AN29" s="11" t="n">
        <v>61.00278813719765</v>
      </c>
      <c r="AO29" s="11" t="n">
        <v>60.16483755376351</v>
      </c>
      <c r="AP29" s="11" t="n">
        <v>61.51685300445847</v>
      </c>
      <c r="AQ29" s="11" t="n">
        <v>61.51685300445847</v>
      </c>
      <c r="AR29" s="11" t="n">
        <v>65.56886206456497</v>
      </c>
      <c r="AS29" s="11" t="n">
        <v>63.47826027661272</v>
      </c>
      <c r="AT29" s="11" t="n">
        <v>63.47826027661272</v>
      </c>
      <c r="AU29" s="11" t="n">
        <v>63.2947970626022</v>
      </c>
      <c r="AV29" s="11" t="n">
        <v>65.56886206456497</v>
      </c>
      <c r="AW29" s="11" t="n">
        <v>64.79289905260001</v>
      </c>
      <c r="AX29" s="11" t="n">
        <v>65.17857114441541</v>
      </c>
      <c r="AY29" s="11" t="n">
        <v>64.41176428036806</v>
      </c>
      <c r="AZ29" s="11" t="n">
        <v>65.76576559218636</v>
      </c>
      <c r="BA29" s="11" t="n">
        <v>62.75071561246997</v>
      </c>
      <c r="BB29" s="11" t="n">
        <v>63.11239127365182</v>
      </c>
      <c r="BC29" s="11" t="n">
        <v>63.47826027661272</v>
      </c>
      <c r="BD29" s="11" t="n">
        <v>67.1779142110482</v>
      </c>
      <c r="BE29" s="11" t="n">
        <v>68.22429937675371</v>
      </c>
      <c r="BF29" s="11" t="n">
        <v>68.01242262839719</v>
      </c>
      <c r="BG29" s="11" t="n">
        <v>69.74522355898297</v>
      </c>
      <c r="BH29" s="11" t="n">
        <v>68.01242262839719</v>
      </c>
      <c r="BI29" s="78">
        <f>SUM(E29:BH29)</f>
        <v/>
      </c>
      <c r="BJ29" s="79">
        <f>BI29*Weekly_Prices_VND!BH29</f>
        <v/>
      </c>
    </row>
    <row r="30" ht="19" customHeight="1">
      <c r="A30" s="68" t="n">
        <v>29</v>
      </c>
      <c r="B30" s="8" t="inlineStr">
        <is>
          <t>BCM</t>
        </is>
      </c>
      <c r="C30" s="9" t="inlineStr">
        <is>
          <t>VN30 Index (Nhóm Trụ Cột)</t>
        </is>
      </c>
      <c r="D30" s="68" t="inlineStr">
        <is>
          <t>HOSE</t>
        </is>
      </c>
      <c r="E30" s="11" t="n">
        <v>16.66666666666667</v>
      </c>
      <c r="F30" s="11" t="n">
        <v>16.39344262295082</v>
      </c>
      <c r="G30" s="11" t="n">
        <v>16.75041876046901</v>
      </c>
      <c r="H30" s="11" t="n">
        <v>16.07717041800643</v>
      </c>
      <c r="I30" s="11" t="n">
        <v>16.42036124794745</v>
      </c>
      <c r="J30" s="11" t="n">
        <v>16.89189189189189</v>
      </c>
      <c r="K30" s="11" t="n">
        <v>16.94915254237288</v>
      </c>
      <c r="L30" s="11" t="n">
        <v>16.10305958132045</v>
      </c>
      <c r="M30" s="11" t="n">
        <v>15.06024096385542</v>
      </c>
      <c r="N30" s="11" t="n">
        <v>14.57725947521866</v>
      </c>
      <c r="O30" s="11" t="n">
        <v>14.85884101040119</v>
      </c>
      <c r="P30" s="11" t="n">
        <v>14.30615164520744</v>
      </c>
      <c r="Q30" s="11" t="n">
        <v>13.94700139470014</v>
      </c>
      <c r="R30" s="11" t="n">
        <v>14.1643059490085</v>
      </c>
      <c r="S30" s="11" t="n">
        <v>14.18439716312057</v>
      </c>
      <c r="T30" s="11" t="n">
        <v>14.30615164520744</v>
      </c>
      <c r="U30" s="11" t="n">
        <v>14.70588235294118</v>
      </c>
      <c r="V30" s="11" t="n">
        <v>14.77104874446086</v>
      </c>
      <c r="W30" s="11" t="n">
        <v>14.79289940828402</v>
      </c>
      <c r="X30" s="11" t="n">
        <v>14.45086705202312</v>
      </c>
      <c r="Y30" s="11" t="n">
        <v>14.83679525222552</v>
      </c>
      <c r="Z30" s="11" t="n">
        <v>15.10574018126888</v>
      </c>
      <c r="AA30" s="11" t="n">
        <v>15.08295625942685</v>
      </c>
      <c r="AB30" s="11" t="n">
        <v>15.26717557251908</v>
      </c>
      <c r="AC30" s="11" t="n">
        <v>15.29051987767584</v>
      </c>
      <c r="AD30" s="11" t="n">
        <v>14.94768310911809</v>
      </c>
      <c r="AE30" s="11" t="n">
        <v>14.70588235294118</v>
      </c>
      <c r="AF30" s="11" t="n">
        <v>14.81481481481481</v>
      </c>
      <c r="AG30" s="11" t="n">
        <v>14.92537313432836</v>
      </c>
      <c r="AH30" s="11" t="n">
        <v>15.01501501501502</v>
      </c>
      <c r="AI30" s="11" t="n">
        <v>15.15151515151515</v>
      </c>
      <c r="AJ30" s="11" t="n">
        <v>15.31393568147014</v>
      </c>
      <c r="AK30" s="11" t="n">
        <v>16.31321370309951</v>
      </c>
      <c r="AL30" s="11" t="n">
        <v>16.77852348993289</v>
      </c>
      <c r="AM30" s="11" t="n">
        <v>16.18122977346278</v>
      </c>
      <c r="AN30" s="11" t="n">
        <v>14.08450704225352</v>
      </c>
      <c r="AO30" s="11" t="n">
        <v>12.90322580645161</v>
      </c>
      <c r="AP30" s="11" t="n">
        <v>14.43001443001443</v>
      </c>
      <c r="AQ30" s="11" t="n">
        <v>14.68428781204112</v>
      </c>
      <c r="AR30" s="11" t="n">
        <v>15.26717557251908</v>
      </c>
      <c r="AS30" s="11" t="n">
        <v>15.79778830963665</v>
      </c>
      <c r="AT30" s="11" t="n">
        <v>15.79778830963665</v>
      </c>
      <c r="AU30" s="11" t="n">
        <v>14.85884101040119</v>
      </c>
      <c r="AV30" s="11" t="n">
        <v>17.06484641638225</v>
      </c>
      <c r="AW30" s="11" t="n">
        <v>18.6219739292365</v>
      </c>
      <c r="AX30" s="11" t="n">
        <v>18.93939393939394</v>
      </c>
      <c r="AY30" s="11" t="n">
        <v>18.41620626151013</v>
      </c>
      <c r="AZ30" s="11" t="n">
        <v>18.79699248120301</v>
      </c>
      <c r="BA30" s="11" t="n">
        <v>18.01801801801802</v>
      </c>
      <c r="BB30" s="11" t="n">
        <v>17.95332136445242</v>
      </c>
      <c r="BC30" s="11" t="n">
        <v>18.45018450184502</v>
      </c>
      <c r="BD30" s="11" t="n">
        <v>18.79699248120301</v>
      </c>
      <c r="BE30" s="11" t="n">
        <v>18.86792452830189</v>
      </c>
      <c r="BF30" s="11" t="n">
        <v>18.51851851851852</v>
      </c>
      <c r="BG30" s="11" t="n">
        <v>18.48428835489834</v>
      </c>
      <c r="BH30" s="11" t="n">
        <v>18.14882032667877</v>
      </c>
      <c r="BI30" s="78">
        <f>SUM(E30:BH30)</f>
        <v/>
      </c>
      <c r="BJ30" s="79">
        <f>BI30*Weekly_Prices_VND!BH30</f>
        <v/>
      </c>
    </row>
    <row r="31" ht="19" customHeight="1">
      <c r="A31" s="68" t="n">
        <v>30</v>
      </c>
      <c r="B31" s="8" t="inlineStr">
        <is>
          <t>FPT</t>
        </is>
      </c>
      <c r="C31" s="9" t="inlineStr">
        <is>
          <t>VN30 Index (Nhóm Trụ Cột)</t>
        </is>
      </c>
      <c r="D31" s="68" t="inlineStr">
        <is>
          <t>HOSE</t>
        </is>
      </c>
      <c r="E31" s="11" t="n">
        <v>10.0612423103222</v>
      </c>
      <c r="F31" s="11" t="n">
        <v>9.20000031625001</v>
      </c>
      <c r="G31" s="11" t="n">
        <v>9.845890279244832</v>
      </c>
      <c r="H31" s="11" t="n">
        <v>9.820666195632734</v>
      </c>
      <c r="I31" s="11" t="n">
        <v>9.845890279244832</v>
      </c>
      <c r="J31" s="11" t="n">
        <v>9.829059599347566</v>
      </c>
      <c r="K31" s="11" t="n">
        <v>9.91379337052245</v>
      </c>
      <c r="L31" s="11" t="n">
        <v>9.829059599347566</v>
      </c>
      <c r="M31" s="11" t="n">
        <v>9.745762744126598</v>
      </c>
      <c r="N31" s="11" t="n">
        <v>9.281678568364892</v>
      </c>
      <c r="O31" s="11" t="n">
        <v>9.055118221642696</v>
      </c>
      <c r="P31" s="11" t="n">
        <v>9.000900090009001</v>
      </c>
      <c r="Q31" s="11" t="n">
        <v>9.615384615384615</v>
      </c>
      <c r="R31" s="11" t="n">
        <v>9.416195856873824</v>
      </c>
      <c r="S31" s="11" t="n">
        <v>9.633911368015415</v>
      </c>
      <c r="T31" s="11" t="n">
        <v>9.83284169124877</v>
      </c>
      <c r="U31" s="11" t="n">
        <v>9.569377990430622</v>
      </c>
      <c r="V31" s="11" t="n">
        <v>9.523809523809524</v>
      </c>
      <c r="W31" s="11" t="n">
        <v>9.803921568627452</v>
      </c>
      <c r="X31" s="11" t="n">
        <v>9.708737864077669</v>
      </c>
      <c r="Y31" s="11" t="n">
        <v>10.20408163265306</v>
      </c>
      <c r="Z31" s="11" t="n">
        <v>10.85776330076004</v>
      </c>
      <c r="AA31" s="11" t="n">
        <v>10.61571125265393</v>
      </c>
      <c r="AB31" s="11" t="n">
        <v>11.1358574610245</v>
      </c>
      <c r="AC31" s="11" t="n">
        <v>10.52631578947368</v>
      </c>
      <c r="AD31" s="11" t="n">
        <v>9.737098344693282</v>
      </c>
      <c r="AE31" s="11" t="n">
        <v>9.900990099009901</v>
      </c>
      <c r="AF31" s="11" t="n">
        <v>10</v>
      </c>
      <c r="AG31" s="11" t="n">
        <v>9.920634920634921</v>
      </c>
      <c r="AH31" s="11" t="n">
        <v>10.29866117404737</v>
      </c>
      <c r="AI31" s="11" t="n">
        <v>10.3950103950104</v>
      </c>
      <c r="AJ31" s="11" t="n">
        <v>10.67235859124867</v>
      </c>
      <c r="AK31" s="11" t="n">
        <v>10.64962726304579</v>
      </c>
      <c r="AL31" s="11" t="n">
        <v>10.81081081081081</v>
      </c>
      <c r="AM31" s="11" t="n">
        <v>10.4384133611691</v>
      </c>
      <c r="AN31" s="11" t="n">
        <v>10.26694045174538</v>
      </c>
      <c r="AO31" s="11" t="n">
        <v>9.49667616334283</v>
      </c>
      <c r="AP31" s="11" t="n">
        <v>9.900990099009901</v>
      </c>
      <c r="AQ31" s="11" t="n">
        <v>9.569377990430622</v>
      </c>
      <c r="AR31" s="11" t="n">
        <v>10.24590163934426</v>
      </c>
      <c r="AS31" s="11" t="n">
        <v>10.38421599169263</v>
      </c>
      <c r="AT31" s="11" t="n">
        <v>10.38421599169263</v>
      </c>
      <c r="AU31" s="11" t="n">
        <v>10.76426264800861</v>
      </c>
      <c r="AV31" s="11" t="n">
        <v>12.25490196078431</v>
      </c>
      <c r="AW31" s="11" t="n">
        <v>12.98701298701299</v>
      </c>
      <c r="AX31" s="11" t="n">
        <v>13.40482573726542</v>
      </c>
      <c r="AY31" s="11" t="n">
        <v>13.14060446780552</v>
      </c>
      <c r="AZ31" s="11" t="n">
        <v>13.51351351351351</v>
      </c>
      <c r="BA31" s="11" t="n">
        <v>12.87001287001287</v>
      </c>
      <c r="BB31" s="11" t="n">
        <v>13.1578947368421</v>
      </c>
      <c r="BC31" s="11" t="n">
        <v>13.62397820163488</v>
      </c>
      <c r="BD31" s="11" t="n">
        <v>13.24503311258278</v>
      </c>
      <c r="BE31" s="11" t="n">
        <v>13.90820584144645</v>
      </c>
      <c r="BF31" s="11" t="n">
        <v>13.71742112482853</v>
      </c>
      <c r="BG31" s="11" t="n">
        <v>13.31557922769641</v>
      </c>
      <c r="BH31" s="11" t="n">
        <v>13.96648044692737</v>
      </c>
      <c r="BI31" s="78">
        <f>SUM(E31:BH31)</f>
        <v/>
      </c>
      <c r="BJ31" s="79">
        <f>BI31*Weekly_Prices_VND!BH31</f>
        <v/>
      </c>
    </row>
    <row r="32" ht="19" customHeight="1">
      <c r="A32" s="69" t="n">
        <v>31</v>
      </c>
      <c r="B32" s="20" t="inlineStr">
        <is>
          <t>MSB</t>
        </is>
      </c>
      <c r="C32" s="21" t="inlineStr">
        <is>
          <t>Ngân Hàng &amp; Tài Chính</t>
        </is>
      </c>
      <c r="D32" s="69" t="inlineStr">
        <is>
          <t>HOSE</t>
        </is>
      </c>
      <c r="E32" s="23" t="n">
        <v>126.8722484426246</v>
      </c>
      <c r="F32" s="23" t="n">
        <v>120.0000046875002</v>
      </c>
      <c r="G32" s="23" t="n">
        <v>123.6051493856951</v>
      </c>
      <c r="H32" s="23" t="n">
        <v>123.0769230769231</v>
      </c>
      <c r="I32" s="23" t="n">
        <v>123.6051493856951</v>
      </c>
      <c r="J32" s="23" t="n">
        <v>121.0084065390863</v>
      </c>
      <c r="K32" s="23" t="n">
        <v>119.5020731392366</v>
      </c>
      <c r="L32" s="23" t="n">
        <v>120.0000046875002</v>
      </c>
      <c r="M32" s="23" t="n">
        <v>118.5185185185185</v>
      </c>
      <c r="N32" s="23" t="n">
        <v>112.0622540840891</v>
      </c>
      <c r="O32" s="23" t="n">
        <v>108.6792478462087</v>
      </c>
      <c r="P32" s="23" t="n">
        <v>104.7272703471075</v>
      </c>
      <c r="Q32" s="23" t="n">
        <v>104.3478296313801</v>
      </c>
      <c r="R32" s="23" t="n">
        <v>93.81107109889776</v>
      </c>
      <c r="S32" s="23" t="n">
        <v>89.16409013792918</v>
      </c>
      <c r="T32" s="23" t="n">
        <v>82.52148923243652</v>
      </c>
      <c r="U32" s="23" t="n">
        <v>82.05128205128206</v>
      </c>
      <c r="V32" s="23" t="n">
        <v>77.83783520818125</v>
      </c>
      <c r="W32" s="23" t="n">
        <v>88.56088305578635</v>
      </c>
      <c r="X32" s="23" t="n">
        <v>88.23529665197889</v>
      </c>
      <c r="Y32" s="23" t="n">
        <v>90.22556655972646</v>
      </c>
      <c r="Z32" s="23" t="n">
        <v>90.22556655972646</v>
      </c>
      <c r="AA32" s="23" t="n">
        <v>87.59123837844325</v>
      </c>
      <c r="AB32" s="23" t="n">
        <v>90.56603506585982</v>
      </c>
      <c r="AC32" s="23" t="n">
        <v>96.7741965969694</v>
      </c>
      <c r="AD32" s="23" t="n">
        <v>97.16598882951705</v>
      </c>
      <c r="AE32" s="23" t="n">
        <v>99.17355692063394</v>
      </c>
      <c r="AF32" s="23" t="n">
        <v>99.58505901241381</v>
      </c>
      <c r="AG32" s="23" t="n">
        <v>98.76543209876543</v>
      </c>
      <c r="AH32" s="23" t="n">
        <v>91.25475556246303</v>
      </c>
      <c r="AI32" s="23" t="n">
        <v>91.25475556246303</v>
      </c>
      <c r="AJ32" s="23" t="n">
        <v>96.7741965969694</v>
      </c>
      <c r="AK32" s="23" t="n">
        <v>94.48819188263386</v>
      </c>
      <c r="AL32" s="23" t="n">
        <v>97.5609756097561</v>
      </c>
      <c r="AM32" s="23" t="n">
        <v>96.7741965969694</v>
      </c>
      <c r="AN32" s="23" t="n">
        <v>95.99999700000009</v>
      </c>
      <c r="AO32" s="23" t="n">
        <v>95.61753285662141</v>
      </c>
      <c r="AP32" s="23" t="n">
        <v>96.3855421686747</v>
      </c>
      <c r="AQ32" s="23" t="n">
        <v>96.7741965969694</v>
      </c>
      <c r="AR32" s="23" t="n">
        <v>100</v>
      </c>
      <c r="AS32" s="23" t="n">
        <v>99.58505901241381</v>
      </c>
      <c r="AT32" s="23" t="n">
        <v>99.58505901241381</v>
      </c>
      <c r="AU32" s="23" t="n">
        <v>98.36065258835001</v>
      </c>
      <c r="AV32" s="23" t="n">
        <v>103.448272378493</v>
      </c>
      <c r="AW32" s="23" t="n">
        <v>106.6666666666667</v>
      </c>
      <c r="AX32" s="23" t="n">
        <v>106.6666666666667</v>
      </c>
      <c r="AY32" s="23" t="n">
        <v>105.7268758854239</v>
      </c>
      <c r="AZ32" s="23" t="n">
        <v>104.3478296313801</v>
      </c>
      <c r="BA32" s="23" t="n">
        <v>94.11764705882354</v>
      </c>
      <c r="BB32" s="23" t="n">
        <v>94.86165714977591</v>
      </c>
      <c r="BC32" s="23" t="n">
        <v>95.23809523809524</v>
      </c>
      <c r="BD32" s="23" t="n">
        <v>95.99999700000009</v>
      </c>
      <c r="BE32" s="23" t="n">
        <v>88.88888888888889</v>
      </c>
      <c r="BF32" s="23" t="n">
        <v>86.33093767791529</v>
      </c>
      <c r="BG32" s="23" t="n">
        <v>83.33333333333333</v>
      </c>
      <c r="BH32" s="23" t="n">
        <v>78.43137254901961</v>
      </c>
      <c r="BI32" s="78">
        <f>SUM(E32:BH32)</f>
        <v/>
      </c>
      <c r="BJ32" s="79">
        <f>BI32*Weekly_Prices_VND!BH32</f>
        <v/>
      </c>
    </row>
    <row r="33" ht="19" customHeight="1">
      <c r="A33" s="69" t="n">
        <v>32</v>
      </c>
      <c r="B33" s="20" t="inlineStr">
        <is>
          <t>HCM</t>
        </is>
      </c>
      <c r="C33" s="21" t="inlineStr">
        <is>
          <t>Ngân Hàng &amp; Tài Chính</t>
        </is>
      </c>
      <c r="D33" s="69" t="inlineStr">
        <is>
          <t>HOSE</t>
        </is>
      </c>
      <c r="E33" s="23" t="n">
        <v>38.31417624521073</v>
      </c>
      <c r="F33" s="23" t="n">
        <v>37.66478342749529</v>
      </c>
      <c r="G33" s="23" t="n">
        <v>39.0625</v>
      </c>
      <c r="H33" s="23" t="n">
        <v>39.0625</v>
      </c>
      <c r="I33" s="23" t="n">
        <v>38.31417624521073</v>
      </c>
      <c r="J33" s="23" t="n">
        <v>38.98635477582846</v>
      </c>
      <c r="K33" s="23" t="n">
        <v>48.75031147354767</v>
      </c>
      <c r="L33" s="23" t="n">
        <v>47.96163069544365</v>
      </c>
      <c r="M33" s="23" t="n">
        <v>43.10344827586207</v>
      </c>
      <c r="N33" s="23" t="n">
        <v>41.06776180698152</v>
      </c>
      <c r="O33" s="23" t="n">
        <v>40.16064257028113</v>
      </c>
      <c r="P33" s="23" t="n">
        <v>39.76143141153081</v>
      </c>
      <c r="Q33" s="23" t="n">
        <v>38.61003861003861</v>
      </c>
      <c r="R33" s="23" t="n">
        <v>35.46099290780142</v>
      </c>
      <c r="S33" s="23" t="n">
        <v>34.78260869565217</v>
      </c>
      <c r="T33" s="23" t="n">
        <v>35.46099290780142</v>
      </c>
      <c r="U33" s="23" t="n">
        <v>35.46099290780142</v>
      </c>
      <c r="V33" s="23" t="n">
        <v>33.67003367003367</v>
      </c>
      <c r="W33" s="23" t="n">
        <v>36.69724770642202</v>
      </c>
      <c r="X33" s="23" t="n">
        <v>37.243947858473</v>
      </c>
      <c r="Y33" s="23" t="n">
        <v>37.38317757009346</v>
      </c>
      <c r="Z33" s="23" t="n">
        <v>37.80718336483932</v>
      </c>
      <c r="AA33" s="23" t="n">
        <v>36.69724770642202</v>
      </c>
      <c r="AB33" s="23" t="n">
        <v>37.3134328358209</v>
      </c>
      <c r="AC33" s="23" t="n">
        <v>40.98360655737705</v>
      </c>
      <c r="AD33" s="23" t="n">
        <v>42.46284501061571</v>
      </c>
      <c r="AE33" s="23" t="n">
        <v>45.662100456621</v>
      </c>
      <c r="AF33" s="23" t="n">
        <v>44.24778761061947</v>
      </c>
      <c r="AG33" s="23" t="n">
        <v>44.44444444444444</v>
      </c>
      <c r="AH33" s="23" t="n">
        <v>45.14672686230249</v>
      </c>
      <c r="AI33" s="23" t="n">
        <v>43.7636761487965</v>
      </c>
      <c r="AJ33" s="23" t="n">
        <v>44.7427293064877</v>
      </c>
      <c r="AK33" s="23" t="n">
        <v>43.29004329004329</v>
      </c>
      <c r="AL33" s="23" t="n">
        <v>43.66812227074236</v>
      </c>
      <c r="AM33" s="23" t="n">
        <v>44.64285714285715</v>
      </c>
      <c r="AN33" s="23" t="n">
        <v>44.24778761061947</v>
      </c>
      <c r="AO33" s="23" t="n">
        <v>37.73584905660378</v>
      </c>
      <c r="AP33" s="23" t="n">
        <v>42.28329809725159</v>
      </c>
      <c r="AQ33" s="23" t="n">
        <v>42.46284501061571</v>
      </c>
      <c r="AR33" s="23" t="n">
        <v>44.44444444444444</v>
      </c>
      <c r="AS33" s="23" t="n">
        <v>42.3728813559322</v>
      </c>
      <c r="AT33" s="23" t="n">
        <v>42.3728813559322</v>
      </c>
      <c r="AU33" s="23" t="n">
        <v>41.23711340206186</v>
      </c>
      <c r="AV33" s="23" t="n">
        <v>42.82655246252676</v>
      </c>
      <c r="AW33" s="23" t="n">
        <v>46.18937644341801</v>
      </c>
      <c r="AX33" s="23" t="n">
        <v>48.78048780487805</v>
      </c>
      <c r="AY33" s="23" t="n">
        <v>44.9438202247191</v>
      </c>
      <c r="AZ33" s="23" t="n">
        <v>41.40786749482402</v>
      </c>
      <c r="BA33" s="23" t="n">
        <v>39.52569169960474</v>
      </c>
      <c r="BB33" s="23" t="n">
        <v>37.03703703703704</v>
      </c>
      <c r="BC33" s="23" t="n">
        <v>38.16793893129771</v>
      </c>
      <c r="BD33" s="23" t="n">
        <v>37.38317757009346</v>
      </c>
      <c r="BE33" s="23" t="n">
        <v>35.77817531305904</v>
      </c>
      <c r="BF33" s="23" t="n">
        <v>34.78260869565217</v>
      </c>
      <c r="BG33" s="23" t="n">
        <v>35.08771929824562</v>
      </c>
      <c r="BH33" s="23" t="n">
        <v>36.42987249544627</v>
      </c>
      <c r="BI33" s="78">
        <f>SUM(E33:BH33)</f>
        <v/>
      </c>
      <c r="BJ33" s="79">
        <f>BI33*Weekly_Prices_VND!BH33</f>
        <v/>
      </c>
    </row>
    <row r="34" ht="19" customHeight="1">
      <c r="A34" s="69" t="n">
        <v>33</v>
      </c>
      <c r="B34" s="20" t="inlineStr">
        <is>
          <t>ORS</t>
        </is>
      </c>
      <c r="C34" s="21" t="inlineStr">
        <is>
          <t>Ngân Hàng &amp; Tài Chính</t>
        </is>
      </c>
      <c r="D34" s="69" t="inlineStr">
        <is>
          <t>HOSE</t>
        </is>
      </c>
      <c r="E34" s="23" t="n">
        <v>118.3431952662722</v>
      </c>
      <c r="F34" s="23" t="n">
        <v>112.2334455667789</v>
      </c>
      <c r="G34" s="23" t="n">
        <v>118.0637544273908</v>
      </c>
      <c r="H34" s="23" t="n">
        <v>114.5475372279496</v>
      </c>
      <c r="I34" s="23" t="n">
        <v>113.2502831257078</v>
      </c>
      <c r="J34" s="23" t="n">
        <v>107.9913606911447</v>
      </c>
      <c r="K34" s="23" t="n">
        <v>106.3829787234042</v>
      </c>
      <c r="L34" s="23" t="n">
        <v>109.4091903719912</v>
      </c>
      <c r="M34" s="23" t="n">
        <v>106.3829787234042</v>
      </c>
      <c r="N34" s="23" t="n">
        <v>97.08737864077671</v>
      </c>
      <c r="O34" s="23" t="n">
        <v>93.89671361502347</v>
      </c>
      <c r="P34" s="23" t="n">
        <v>92.5925925925926</v>
      </c>
      <c r="Q34" s="23" t="n">
        <v>91.74311926605505</v>
      </c>
      <c r="R34" s="23" t="n">
        <v>80.64516129032258</v>
      </c>
      <c r="S34" s="23" t="n">
        <v>78.43137254901961</v>
      </c>
      <c r="T34" s="23" t="n">
        <v>75.18796992481202</v>
      </c>
      <c r="U34" s="23" t="n">
        <v>64.72491909385113</v>
      </c>
      <c r="V34" s="23" t="n">
        <v>60.97560975609756</v>
      </c>
      <c r="W34" s="23" t="n">
        <v>64.51612903225806</v>
      </c>
      <c r="X34" s="23" t="n">
        <v>67.11409395973155</v>
      </c>
      <c r="Y34" s="23" t="n">
        <v>69.93006993006993</v>
      </c>
      <c r="Z34" s="23" t="n">
        <v>73.26007326007326</v>
      </c>
      <c r="AA34" s="23" t="n">
        <v>68.96551724137932</v>
      </c>
      <c r="AB34" s="23" t="n">
        <v>62.30529595015577</v>
      </c>
      <c r="AC34" s="23" t="n">
        <v>67.79661016949153</v>
      </c>
      <c r="AD34" s="23" t="n">
        <v>65.57377049180327</v>
      </c>
      <c r="AE34" s="23" t="n">
        <v>71.42857142857143</v>
      </c>
      <c r="AF34" s="23" t="n">
        <v>70.92198581560284</v>
      </c>
      <c r="AG34" s="23" t="n">
        <v>71.94244604316546</v>
      </c>
      <c r="AH34" s="23" t="n">
        <v>73.26007326007326</v>
      </c>
      <c r="AI34" s="23" t="n">
        <v>72.99270072992701</v>
      </c>
      <c r="AJ34" s="23" t="n">
        <v>75.47169811320755</v>
      </c>
      <c r="AK34" s="23" t="n">
        <v>74.6268656716418</v>
      </c>
      <c r="AL34" s="23" t="n">
        <v>74.6268656716418</v>
      </c>
      <c r="AM34" s="23" t="n">
        <v>76.04562737642586</v>
      </c>
      <c r="AN34" s="23" t="n">
        <v>76.92307692307692</v>
      </c>
      <c r="AO34" s="23" t="n">
        <v>74.6268656716418</v>
      </c>
      <c r="AP34" s="23" t="n">
        <v>74.34944237918215</v>
      </c>
      <c r="AQ34" s="23" t="n">
        <v>70.17543859649123</v>
      </c>
      <c r="AR34" s="23" t="n">
        <v>76.04562737642586</v>
      </c>
      <c r="AS34" s="23" t="n">
        <v>75.18796992481202</v>
      </c>
      <c r="AT34" s="23" t="n">
        <v>75.18796992481202</v>
      </c>
      <c r="AU34" s="23" t="n">
        <v>71.42857142857143</v>
      </c>
      <c r="AV34" s="23" t="n">
        <v>68.49315068493151</v>
      </c>
      <c r="AW34" s="23" t="n">
        <v>76.33587786259542</v>
      </c>
      <c r="AX34" s="23" t="n">
        <v>78.43137254901961</v>
      </c>
      <c r="AY34" s="23" t="n">
        <v>76.04562737642586</v>
      </c>
      <c r="AZ34" s="23" t="n">
        <v>75.75757575757575</v>
      </c>
      <c r="BA34" s="23" t="n">
        <v>73.52941176470588</v>
      </c>
      <c r="BB34" s="23" t="n">
        <v>74.34944237918215</v>
      </c>
      <c r="BC34" s="23" t="n">
        <v>76.04562737642586</v>
      </c>
      <c r="BD34" s="23" t="n">
        <v>76.04562737642586</v>
      </c>
      <c r="BE34" s="23" t="n">
        <v>74.07407407407408</v>
      </c>
      <c r="BF34" s="23" t="n">
        <v>74.07407407407408</v>
      </c>
      <c r="BG34" s="23" t="n">
        <v>75.75757575757575</v>
      </c>
      <c r="BH34" s="23" t="n">
        <v>76.92307692307692</v>
      </c>
      <c r="BI34" s="78">
        <f>SUM(E34:BH34)</f>
        <v/>
      </c>
      <c r="BJ34" s="79">
        <f>BI34*Weekly_Prices_VND!BH34</f>
        <v/>
      </c>
    </row>
    <row r="35" ht="19" customHeight="1">
      <c r="A35" s="69" t="n">
        <v>34</v>
      </c>
      <c r="B35" s="20" t="inlineStr">
        <is>
          <t>VIX</t>
        </is>
      </c>
      <c r="C35" s="21" t="inlineStr">
        <is>
          <t>Ngân Hàng &amp; Tài Chính</t>
        </is>
      </c>
      <c r="D35" s="69" t="inlineStr">
        <is>
          <t>HOSE</t>
        </is>
      </c>
      <c r="E35" s="23" t="n">
        <v>105.2812422857586</v>
      </c>
      <c r="F35" s="23" t="n">
        <v>99.65552665804802</v>
      </c>
      <c r="G35" s="23" t="n">
        <v>96.3459300618872</v>
      </c>
      <c r="H35" s="23" t="n">
        <v>93.91995763329412</v>
      </c>
      <c r="I35" s="23" t="n">
        <v>94.25901825918689</v>
      </c>
      <c r="J35" s="23" t="n">
        <v>97.42442732941663</v>
      </c>
      <c r="K35" s="23" t="n">
        <v>99.86516252567579</v>
      </c>
      <c r="L35" s="23" t="n">
        <v>97.8993139973265</v>
      </c>
      <c r="M35" s="23" t="n">
        <v>87.86722644268075</v>
      </c>
      <c r="N35" s="23" t="n">
        <v>79.70008484478758</v>
      </c>
      <c r="O35" s="23" t="n">
        <v>70.44313409208293</v>
      </c>
      <c r="P35" s="23" t="n">
        <v>55.25872577911296</v>
      </c>
      <c r="Q35" s="23" t="n">
        <v>45.54290613197872</v>
      </c>
      <c r="R35" s="23" t="n">
        <v>43.8561289411306</v>
      </c>
      <c r="S35" s="23" t="n">
        <v>38.31498479598543</v>
      </c>
      <c r="T35" s="23" t="n">
        <v>35.52346602458002</v>
      </c>
      <c r="U35" s="23" t="n">
        <v>32.37815868067604</v>
      </c>
      <c r="V35" s="23" t="n">
        <v>33.15523403612716</v>
      </c>
      <c r="W35" s="23" t="n">
        <v>35.72762376132607</v>
      </c>
      <c r="X35" s="23" t="n">
        <v>33.60327747466644</v>
      </c>
      <c r="Y35" s="23" t="n">
        <v>33.37775225480733</v>
      </c>
      <c r="Z35" s="23" t="n">
        <v>34.34589319715187</v>
      </c>
      <c r="AA35" s="23" t="n">
        <v>32.63310466577551</v>
      </c>
      <c r="AB35" s="23" t="n">
        <v>31.43669567418173</v>
      </c>
      <c r="AC35" s="23" t="n">
        <v>37.56257617059514</v>
      </c>
      <c r="AD35" s="23" t="n">
        <v>42.43417336697015</v>
      </c>
      <c r="AE35" s="23" t="n">
        <v>50.74780659455853</v>
      </c>
      <c r="AF35" s="23" t="n">
        <v>48.19074801641422</v>
      </c>
      <c r="AG35" s="23" t="n">
        <v>53.36143146208759</v>
      </c>
      <c r="AH35" s="23" t="n">
        <v>50.74780659455853</v>
      </c>
      <c r="AI35" s="23" t="n">
        <v>50.95578928427618</v>
      </c>
      <c r="AJ35" s="23" t="n">
        <v>57.03308754523242</v>
      </c>
      <c r="AK35" s="23" t="n">
        <v>55.75431946244996</v>
      </c>
      <c r="AL35" s="23" t="n">
        <v>54.53163766921982</v>
      </c>
      <c r="AM35" s="23" t="n">
        <v>55.25872577911296</v>
      </c>
      <c r="AN35" s="23" t="n">
        <v>58.09912595992635</v>
      </c>
      <c r="AO35" s="23" t="n">
        <v>50.33689342322926</v>
      </c>
      <c r="AP35" s="23" t="n">
        <v>51.16548376465236</v>
      </c>
      <c r="AQ35" s="23" t="n">
        <v>55.01421827428349</v>
      </c>
      <c r="AR35" s="23" t="n">
        <v>58.64723060789802</v>
      </c>
      <c r="AS35" s="23" t="n">
        <v>55.13620095422242</v>
      </c>
      <c r="AT35" s="23" t="n">
        <v>55.13620095422242</v>
      </c>
      <c r="AU35" s="23" t="n">
        <v>55.25872577911296</v>
      </c>
      <c r="AV35" s="23" t="n">
        <v>59.4900863024541</v>
      </c>
      <c r="AW35" s="23" t="n">
        <v>63.82978590779202</v>
      </c>
      <c r="AX35" s="23" t="n">
        <v>64.61538480954142</v>
      </c>
      <c r="AY35" s="23" t="n">
        <v>62.68656752965583</v>
      </c>
      <c r="AZ35" s="23" t="n">
        <v>64.81481540088627</v>
      </c>
      <c r="BA35" s="23" t="n">
        <v>58.17174389344391</v>
      </c>
      <c r="BB35" s="23" t="n">
        <v>60.00000234375009</v>
      </c>
      <c r="BC35" s="23" t="n">
        <v>63.25301353663906</v>
      </c>
      <c r="BD35" s="23" t="n">
        <v>62.87425223234295</v>
      </c>
      <c r="BE35" s="23" t="n">
        <v>56.45161468156548</v>
      </c>
      <c r="BF35" s="23" t="n">
        <v>56.00000087500001</v>
      </c>
      <c r="BG35" s="23" t="n">
        <v>56.60377567083489</v>
      </c>
      <c r="BH35" s="23" t="n">
        <v>59.32203488019788</v>
      </c>
      <c r="BI35" s="78">
        <f>SUM(E35:BH35)</f>
        <v/>
      </c>
      <c r="BJ35" s="79">
        <f>BI35*Weekly_Prices_VND!BH35</f>
        <v/>
      </c>
    </row>
    <row r="36" ht="19" customHeight="1">
      <c r="A36" s="69" t="n">
        <v>35</v>
      </c>
      <c r="B36" s="20" t="inlineStr">
        <is>
          <t>NAB</t>
        </is>
      </c>
      <c r="C36" s="21" t="inlineStr">
        <is>
          <t>Ngân Hàng &amp; Tài Chính</t>
        </is>
      </c>
      <c r="D36" s="69" t="inlineStr">
        <is>
          <t>HOSE</t>
        </is>
      </c>
      <c r="E36" s="23" t="n">
        <v>87.71929824561404</v>
      </c>
      <c r="F36" s="23" t="n">
        <v>85.95988779212615</v>
      </c>
      <c r="G36" s="23" t="n">
        <v>87.97653706995347</v>
      </c>
      <c r="H36" s="23" t="n">
        <v>87.46355934150532</v>
      </c>
      <c r="I36" s="23" t="n">
        <v>89.28571428571429</v>
      </c>
      <c r="J36" s="23" t="n">
        <v>90.90909090909091</v>
      </c>
      <c r="K36" s="23" t="n">
        <v>90.90909090909091</v>
      </c>
      <c r="L36" s="23" t="n">
        <v>91.18540762771278</v>
      </c>
      <c r="M36" s="23" t="n">
        <v>88.49557522123894</v>
      </c>
      <c r="N36" s="23" t="n">
        <v>81.08108322110122</v>
      </c>
      <c r="O36" s="23" t="n">
        <v>82.19177862286551</v>
      </c>
      <c r="P36" s="23" t="n">
        <v>80</v>
      </c>
      <c r="Q36" s="23" t="n">
        <v>79.47020073132762</v>
      </c>
      <c r="R36" s="23" t="n">
        <v>77.92207989859172</v>
      </c>
      <c r="S36" s="23" t="n">
        <v>73.61963366611468</v>
      </c>
      <c r="T36" s="23" t="n">
        <v>73.84615207100596</v>
      </c>
      <c r="U36" s="23" t="n">
        <v>75.47169811320755</v>
      </c>
      <c r="V36" s="23" t="n">
        <v>73.61963366611468</v>
      </c>
      <c r="W36" s="23" t="n">
        <v>78.43137254901961</v>
      </c>
      <c r="X36" s="23" t="n">
        <v>78.94736639218323</v>
      </c>
      <c r="Y36" s="23" t="n">
        <v>79.73421719958947</v>
      </c>
      <c r="Z36" s="23" t="n">
        <v>81.08108322110122</v>
      </c>
      <c r="AA36" s="23" t="n">
        <v>79.73421719958947</v>
      </c>
      <c r="AB36" s="23" t="n">
        <v>81.08108322110122</v>
      </c>
      <c r="AC36" s="23" t="n">
        <v>84.21052631578948</v>
      </c>
      <c r="AD36" s="23" t="n">
        <v>84.21052631578948</v>
      </c>
      <c r="AE36" s="23" t="n">
        <v>83.33333333333333</v>
      </c>
      <c r="AF36" s="23" t="n">
        <v>83.91608162379585</v>
      </c>
      <c r="AG36" s="23" t="n">
        <v>83.04498045401762</v>
      </c>
      <c r="AH36" s="23" t="n">
        <v>83.91608162379585</v>
      </c>
      <c r="AI36" s="23" t="n">
        <v>83.04498045401762</v>
      </c>
      <c r="AJ36" s="23" t="n">
        <v>85.1063829787234</v>
      </c>
      <c r="AK36" s="23" t="n">
        <v>82.75862291914393</v>
      </c>
      <c r="AL36" s="23" t="n">
        <v>84.50704457820875</v>
      </c>
      <c r="AM36" s="23" t="n">
        <v>83.91608162379585</v>
      </c>
      <c r="AN36" s="23" t="n">
        <v>81.91126498270225</v>
      </c>
      <c r="AO36" s="23" t="n">
        <v>80.8080808080808</v>
      </c>
      <c r="AP36" s="23" t="n">
        <v>82.47422680412372</v>
      </c>
      <c r="AQ36" s="23" t="n">
        <v>84.80565136910194</v>
      </c>
      <c r="AR36" s="23" t="n">
        <v>85.71428332270415</v>
      </c>
      <c r="AS36" s="23" t="n">
        <v>85.4092550436292</v>
      </c>
      <c r="AT36" s="23" t="n">
        <v>85.4092550436292</v>
      </c>
      <c r="AU36" s="23" t="n">
        <v>85.71428332270415</v>
      </c>
      <c r="AV36" s="23" t="n">
        <v>87.91208791208791</v>
      </c>
      <c r="AW36" s="23" t="n">
        <v>93.74999713897714</v>
      </c>
      <c r="AX36" s="23" t="n">
        <v>99.17355692063394</v>
      </c>
      <c r="AY36" s="23" t="n">
        <v>90.90909090909091</v>
      </c>
      <c r="AZ36" s="23" t="n">
        <v>92.66408986896447</v>
      </c>
      <c r="BA36" s="23" t="n">
        <v>88.56088305578635</v>
      </c>
      <c r="BB36" s="23" t="n">
        <v>88.88888888888889</v>
      </c>
      <c r="BC36" s="23" t="n">
        <v>84.50704457820875</v>
      </c>
      <c r="BD36" s="23" t="n">
        <v>85.1063829787234</v>
      </c>
      <c r="BE36" s="23" t="n">
        <v>80.8080808080808</v>
      </c>
      <c r="BF36" s="23" t="n">
        <v>80.97165991902834</v>
      </c>
      <c r="BG36" s="23" t="n">
        <v>81.30081300813008</v>
      </c>
      <c r="BH36" s="23" t="n">
        <v>85.47008547008546</v>
      </c>
      <c r="BI36" s="78">
        <f>SUM(E36:BH36)</f>
        <v/>
      </c>
      <c r="BJ36" s="79">
        <f>BI36*Weekly_Prices_VND!BH36</f>
        <v/>
      </c>
    </row>
    <row r="37" ht="19" customHeight="1">
      <c r="A37" s="69" t="n">
        <v>36</v>
      </c>
      <c r="B37" s="20" t="inlineStr">
        <is>
          <t>OCB</t>
        </is>
      </c>
      <c r="C37" s="21" t="inlineStr">
        <is>
          <t>Ngân Hàng &amp; Tài Chính</t>
        </is>
      </c>
      <c r="D37" s="69" t="inlineStr">
        <is>
          <t>HOSE</t>
        </is>
      </c>
      <c r="E37" s="23" t="n">
        <v>118.2857119754465</v>
      </c>
      <c r="F37" s="23" t="n">
        <v>112.9090928537255</v>
      </c>
      <c r="G37" s="23" t="n">
        <v>115.5348836369659</v>
      </c>
      <c r="H37" s="23" t="n">
        <v>114.9999977539063</v>
      </c>
      <c r="I37" s="23" t="n">
        <v>114.4700417144929</v>
      </c>
      <c r="J37" s="23" t="n">
        <v>108.471611686884</v>
      </c>
      <c r="K37" s="23" t="n">
        <v>106.6094418277356</v>
      </c>
      <c r="L37" s="23" t="n">
        <v>106.1538440805289</v>
      </c>
      <c r="M37" s="23" t="n">
        <v>103.4999979785157</v>
      </c>
      <c r="N37" s="23" t="n">
        <v>97.03125116965772</v>
      </c>
      <c r="O37" s="23" t="n">
        <v>100.1612948977406</v>
      </c>
      <c r="P37" s="23" t="n">
        <v>95.90733253704023</v>
      </c>
      <c r="Q37" s="23" t="n">
        <v>94.44866880873296</v>
      </c>
      <c r="R37" s="23" t="n">
        <v>84.55882383300359</v>
      </c>
      <c r="S37" s="23" t="n">
        <v>87.12121308802246</v>
      </c>
      <c r="T37" s="23" t="n">
        <v>78.76712223395866</v>
      </c>
      <c r="U37" s="23" t="n">
        <v>84.55882383300359</v>
      </c>
      <c r="V37" s="23" t="n">
        <v>81.27208592745259</v>
      </c>
      <c r="W37" s="23" t="n">
        <v>88.12260470454228</v>
      </c>
      <c r="X37" s="23" t="n">
        <v>88.80309215141968</v>
      </c>
      <c r="Y37" s="23" t="n">
        <v>89.14728445966952</v>
      </c>
      <c r="Z37" s="23" t="n">
        <v>89.14728445966952</v>
      </c>
      <c r="AA37" s="23" t="n">
        <v>87.78625692431247</v>
      </c>
      <c r="AB37" s="23" t="n">
        <v>88.46153979058803</v>
      </c>
      <c r="AC37" s="23" t="n">
        <v>89.14728445966952</v>
      </c>
      <c r="AD37" s="23" t="n">
        <v>85.82089614783186</v>
      </c>
      <c r="AE37" s="23" t="n">
        <v>94.65020233791546</v>
      </c>
      <c r="AF37" s="23" t="n">
        <v>93.49593347472158</v>
      </c>
      <c r="AG37" s="23" t="n">
        <v>94.65020233791546</v>
      </c>
      <c r="AH37" s="23" t="n">
        <v>93.49593347472158</v>
      </c>
      <c r="AI37" s="23" t="n">
        <v>92.74193804023425</v>
      </c>
      <c r="AJ37" s="23" t="n">
        <v>96.63865466912868</v>
      </c>
      <c r="AK37" s="23" t="n">
        <v>95.83333684285495</v>
      </c>
      <c r="AL37" s="23" t="n">
        <v>95.43568580745533</v>
      </c>
      <c r="AM37" s="23" t="n">
        <v>96.23430647769658</v>
      </c>
      <c r="AN37" s="23" t="n">
        <v>97.45763115141813</v>
      </c>
      <c r="AO37" s="23" t="n">
        <v>95.04132116346541</v>
      </c>
      <c r="AP37" s="23" t="n">
        <v>96.63865466912868</v>
      </c>
      <c r="AQ37" s="23" t="n">
        <v>97.45763115141813</v>
      </c>
      <c r="AR37" s="23" t="n">
        <v>99.56709704155429</v>
      </c>
      <c r="AS37" s="23" t="n">
        <v>99.13793562482023</v>
      </c>
      <c r="AT37" s="23" t="n">
        <v>99.13793562482023</v>
      </c>
      <c r="AU37" s="23" t="n">
        <v>98.71244842057672</v>
      </c>
      <c r="AV37" s="23" t="n">
        <v>103.1390116462477</v>
      </c>
      <c r="AW37" s="23" t="n">
        <v>107.476637475844</v>
      </c>
      <c r="AX37" s="23" t="n">
        <v>105.5045885738325</v>
      </c>
      <c r="AY37" s="23" t="n">
        <v>102.6785669521412</v>
      </c>
      <c r="AZ37" s="23" t="n">
        <v>104.5454503688341</v>
      </c>
      <c r="BA37" s="23" t="n">
        <v>99.13793562482023</v>
      </c>
      <c r="BB37" s="23" t="n">
        <v>97.87233757851412</v>
      </c>
      <c r="BC37" s="23" t="n">
        <v>100.4366837925598</v>
      </c>
      <c r="BD37" s="23" t="n">
        <v>102.2222253279322</v>
      </c>
      <c r="BE37" s="23" t="n">
        <v>102.2222253279322</v>
      </c>
      <c r="BF37" s="23" t="n">
        <v>102.2222253279322</v>
      </c>
      <c r="BG37" s="23" t="n">
        <v>103.6036045150937</v>
      </c>
      <c r="BH37" s="23" t="n">
        <v>99.56709704155429</v>
      </c>
      <c r="BI37" s="78">
        <f>SUM(E37:BH37)</f>
        <v/>
      </c>
      <c r="BJ37" s="79">
        <f>BI37*Weekly_Prices_VND!BH37</f>
        <v/>
      </c>
    </row>
    <row r="38" ht="19" customHeight="1">
      <c r="A38" s="69" t="n">
        <v>37</v>
      </c>
      <c r="B38" s="20" t="inlineStr">
        <is>
          <t>EIB</t>
        </is>
      </c>
      <c r="C38" s="21" t="inlineStr">
        <is>
          <t>Ngân Hàng &amp; Tài Chính</t>
        </is>
      </c>
      <c r="D38" s="69" t="inlineStr">
        <is>
          <t>HOSE</t>
        </is>
      </c>
      <c r="E38" s="23" t="n">
        <v>51.94805194805195</v>
      </c>
      <c r="F38" s="23" t="n">
        <v>50.37783375314861</v>
      </c>
      <c r="G38" s="23" t="n">
        <v>47.39336492890995</v>
      </c>
      <c r="H38" s="23" t="n">
        <v>43.66812227074236</v>
      </c>
      <c r="I38" s="23" t="n">
        <v>41.1522633744856</v>
      </c>
      <c r="J38" s="23" t="n">
        <v>43.29004329004329</v>
      </c>
      <c r="K38" s="23" t="n">
        <v>43.19654427645789</v>
      </c>
      <c r="L38" s="23" t="n">
        <v>43.01075268817204</v>
      </c>
      <c r="M38" s="23" t="n">
        <v>43.10344827586207</v>
      </c>
      <c r="N38" s="23" t="n">
        <v>42.19409282700422</v>
      </c>
      <c r="O38" s="23" t="n">
        <v>40.73319755600814</v>
      </c>
      <c r="P38" s="23" t="n">
        <v>36.96857670979667</v>
      </c>
      <c r="Q38" s="23" t="n">
        <v>37.03703703703704</v>
      </c>
      <c r="R38" s="23" t="n">
        <v>36.90036900369004</v>
      </c>
      <c r="S38" s="23" t="n">
        <v>35.3356890459364</v>
      </c>
      <c r="T38" s="23" t="n">
        <v>32.15434083601286</v>
      </c>
      <c r="U38" s="23" t="n">
        <v>34.18803418803419</v>
      </c>
      <c r="V38" s="23" t="n">
        <v>33.55704697986577</v>
      </c>
      <c r="W38" s="23" t="n">
        <v>37.03703703703704</v>
      </c>
      <c r="X38" s="23" t="n">
        <v>37.5234521575985</v>
      </c>
      <c r="Y38" s="23" t="n">
        <v>38.16793893129771</v>
      </c>
      <c r="Z38" s="23" t="n">
        <v>38.98635477582846</v>
      </c>
      <c r="AA38" s="23" t="n">
        <v>37.38317757009346</v>
      </c>
      <c r="AB38" s="23" t="n">
        <v>37.59398496240601</v>
      </c>
      <c r="AC38" s="23" t="n">
        <v>43.29004329004329</v>
      </c>
      <c r="AD38" s="23" t="n">
        <v>44.15011037527594</v>
      </c>
      <c r="AE38" s="23" t="n">
        <v>46.62004662004662</v>
      </c>
      <c r="AF38" s="23" t="n">
        <v>46.8384074941452</v>
      </c>
      <c r="AG38" s="23" t="n">
        <v>44.84304932735426</v>
      </c>
      <c r="AH38" s="23" t="n">
        <v>45.45454545454545</v>
      </c>
      <c r="AI38" s="23" t="n">
        <v>43.95604395604396</v>
      </c>
      <c r="AJ38" s="23" t="n">
        <v>48.30917874396135</v>
      </c>
      <c r="AK38" s="23" t="n">
        <v>46.51162790697674</v>
      </c>
      <c r="AL38" s="23" t="n">
        <v>46.40371229698376</v>
      </c>
      <c r="AM38" s="23" t="n">
        <v>46.94835680751174</v>
      </c>
      <c r="AN38" s="23" t="n">
        <v>46.94835680751174</v>
      </c>
      <c r="AO38" s="23" t="n">
        <v>43.47826086956522</v>
      </c>
      <c r="AP38" s="23" t="n">
        <v>44.34589800443459</v>
      </c>
      <c r="AQ38" s="23" t="n">
        <v>47.96163069544365</v>
      </c>
      <c r="AR38" s="23" t="n">
        <v>48.54368932038835</v>
      </c>
      <c r="AS38" s="23" t="n">
        <v>43.29004329004329</v>
      </c>
      <c r="AT38" s="23" t="n">
        <v>43.29004329004329</v>
      </c>
      <c r="AU38" s="23" t="n">
        <v>42.73504273504273</v>
      </c>
      <c r="AV38" s="23" t="n">
        <v>45.35147392290249</v>
      </c>
      <c r="AW38" s="23" t="n">
        <v>44.44444444444444</v>
      </c>
      <c r="AX38" s="23" t="n">
        <v>44.9438202247191</v>
      </c>
      <c r="AY38" s="23" t="n">
        <v>43.95604395604396</v>
      </c>
      <c r="AZ38" s="23" t="n">
        <v>45.14672686230249</v>
      </c>
      <c r="BA38" s="23" t="n">
        <v>43.29004329004329</v>
      </c>
      <c r="BB38" s="23" t="n">
        <v>44.64285714285715</v>
      </c>
      <c r="BC38" s="23" t="n">
        <v>44.7427293064877</v>
      </c>
      <c r="BD38" s="23" t="n">
        <v>45.97701149425287</v>
      </c>
      <c r="BE38" s="23" t="n">
        <v>45.14672686230249</v>
      </c>
      <c r="BF38" s="23" t="n">
        <v>45.76659038901602</v>
      </c>
      <c r="BG38" s="23" t="n">
        <v>47.16981132075472</v>
      </c>
      <c r="BH38" s="23" t="n">
        <v>46.94835680751174</v>
      </c>
      <c r="BI38" s="78">
        <f>SUM(E38:BH38)</f>
        <v/>
      </c>
      <c r="BJ38" s="79">
        <f>BI38*Weekly_Prices_VND!BH38</f>
        <v/>
      </c>
    </row>
    <row r="39" ht="19" customHeight="1">
      <c r="A39" s="69" t="n">
        <v>38</v>
      </c>
      <c r="B39" s="20" t="inlineStr">
        <is>
          <t>AGR</t>
        </is>
      </c>
      <c r="C39" s="21" t="inlineStr">
        <is>
          <t>Ngân Hàng &amp; Tài Chính</t>
        </is>
      </c>
      <c r="D39" s="69" t="inlineStr">
        <is>
          <t>HOSE</t>
        </is>
      </c>
      <c r="E39" s="23" t="n">
        <v>66.2251655629139</v>
      </c>
      <c r="F39" s="23" t="n">
        <v>64.51612903225806</v>
      </c>
      <c r="G39" s="23" t="n">
        <v>70.43189332209357</v>
      </c>
      <c r="H39" s="23" t="n">
        <v>69.50819894685576</v>
      </c>
      <c r="I39" s="23" t="n">
        <v>66.66666666666667</v>
      </c>
      <c r="J39" s="23" t="n">
        <v>67.79661016949153</v>
      </c>
      <c r="K39" s="23" t="n">
        <v>68.49315068493151</v>
      </c>
      <c r="L39" s="23" t="n">
        <v>68.72852233676976</v>
      </c>
      <c r="M39" s="23" t="n">
        <v>66.66666666666667</v>
      </c>
      <c r="N39" s="23" t="n">
        <v>63.69426751592356</v>
      </c>
      <c r="O39" s="23" t="n">
        <v>61.53846153846154</v>
      </c>
      <c r="P39" s="23" t="n">
        <v>60.42296072507553</v>
      </c>
      <c r="Q39" s="23" t="n">
        <v>55.8659217877095</v>
      </c>
      <c r="R39" s="23" t="n">
        <v>54.34782608695652</v>
      </c>
      <c r="S39" s="23" t="n">
        <v>53.61930294906166</v>
      </c>
      <c r="T39" s="23" t="n">
        <v>54.7945205479452</v>
      </c>
      <c r="U39" s="23" t="n">
        <v>55.55555555555556</v>
      </c>
      <c r="V39" s="23" t="n">
        <v>48.89975550122249</v>
      </c>
      <c r="W39" s="23" t="n">
        <v>54.34782608695652</v>
      </c>
      <c r="X39" s="23" t="n">
        <v>55.71030640668523</v>
      </c>
      <c r="Y39" s="23" t="n">
        <v>56.02240896358543</v>
      </c>
      <c r="Z39" s="23" t="n">
        <v>58.47953216374269</v>
      </c>
      <c r="AA39" s="23" t="n">
        <v>56.657223796034</v>
      </c>
      <c r="AB39" s="23" t="n">
        <v>57.63688760806917</v>
      </c>
      <c r="AC39" s="23" t="n">
        <v>62.5</v>
      </c>
      <c r="AD39" s="23" t="n">
        <v>61.91950464396285</v>
      </c>
      <c r="AE39" s="23" t="n">
        <v>64.72491909385113</v>
      </c>
      <c r="AF39" s="23" t="n">
        <v>63.29113924050633</v>
      </c>
      <c r="AG39" s="23" t="n">
        <v>64.51612903225806</v>
      </c>
      <c r="AH39" s="23" t="n">
        <v>65.57377049180327</v>
      </c>
      <c r="AI39" s="23" t="n">
        <v>65.14657980456026</v>
      </c>
      <c r="AJ39" s="23" t="n">
        <v>64.51612903225806</v>
      </c>
      <c r="AK39" s="23" t="n">
        <v>60.42296072507553</v>
      </c>
      <c r="AL39" s="23" t="n">
        <v>60.790273556231</v>
      </c>
      <c r="AM39" s="23" t="n">
        <v>62.11180124223603</v>
      </c>
      <c r="AN39" s="23" t="n">
        <v>60.24096385542169</v>
      </c>
      <c r="AO39" s="23" t="n">
        <v>55.8659217877095</v>
      </c>
      <c r="AP39" s="23" t="n">
        <v>61.53846153846154</v>
      </c>
      <c r="AQ39" s="23" t="n">
        <v>61.53846153846154</v>
      </c>
      <c r="AR39" s="23" t="n">
        <v>64.1025641025641</v>
      </c>
      <c r="AS39" s="23" t="n">
        <v>60.97560975609756</v>
      </c>
      <c r="AT39" s="23" t="n">
        <v>60.97560975609756</v>
      </c>
      <c r="AU39" s="23" t="n">
        <v>59.88023952095809</v>
      </c>
      <c r="AV39" s="23" t="n">
        <v>63.49206349206349</v>
      </c>
      <c r="AW39" s="23" t="n">
        <v>68.49315068493151</v>
      </c>
      <c r="AX39" s="23" t="n">
        <v>69.44444444444444</v>
      </c>
      <c r="AY39" s="23" t="n">
        <v>68.72852233676976</v>
      </c>
      <c r="AZ39" s="23" t="n">
        <v>68.49315068493151</v>
      </c>
      <c r="BA39" s="23" t="n">
        <v>66.88963210702342</v>
      </c>
      <c r="BB39" s="23" t="n">
        <v>67.34006734006734</v>
      </c>
      <c r="BC39" s="23" t="n">
        <v>68.72852233676976</v>
      </c>
      <c r="BD39" s="23" t="n">
        <v>68.96551724137932</v>
      </c>
      <c r="BE39" s="23" t="n">
        <v>68.25938566552901</v>
      </c>
      <c r="BF39" s="23" t="n">
        <v>68.49315068493151</v>
      </c>
      <c r="BG39" s="23" t="n">
        <v>68.49315068493151</v>
      </c>
      <c r="BH39" s="23" t="n">
        <v>69.20415224913495</v>
      </c>
      <c r="BI39" s="78">
        <f>SUM(E39:BH39)</f>
        <v/>
      </c>
      <c r="BJ39" s="79">
        <f>BI39*Weekly_Prices_VND!BH39</f>
        <v/>
      </c>
    </row>
    <row r="40" ht="19" customHeight="1">
      <c r="A40" s="69" t="n">
        <v>39</v>
      </c>
      <c r="B40" s="20" t="inlineStr">
        <is>
          <t>VND</t>
        </is>
      </c>
      <c r="C40" s="21" t="inlineStr">
        <is>
          <t>Ngân Hàng &amp; Tài Chính</t>
        </is>
      </c>
      <c r="D40" s="69" t="inlineStr">
        <is>
          <t>HOSE</t>
        </is>
      </c>
      <c r="E40" s="23" t="n">
        <v>67.34006734006734</v>
      </c>
      <c r="F40" s="23" t="n">
        <v>64.93506493506493</v>
      </c>
      <c r="G40" s="23" t="n">
        <v>63.89776357827476</v>
      </c>
      <c r="H40" s="23" t="n">
        <v>63.49206349206349</v>
      </c>
      <c r="I40" s="23" t="n">
        <v>58.47953216374269</v>
      </c>
      <c r="J40" s="23" t="n">
        <v>60.60606060606061</v>
      </c>
      <c r="K40" s="23" t="n">
        <v>60.24096385542169</v>
      </c>
      <c r="L40" s="23" t="n">
        <v>58.30903790087464</v>
      </c>
      <c r="M40" s="23" t="n">
        <v>57.63688760806917</v>
      </c>
      <c r="N40" s="23" t="n">
        <v>56.17977528089887</v>
      </c>
      <c r="O40" s="23" t="n">
        <v>54.05405405405406</v>
      </c>
      <c r="P40" s="23" t="n">
        <v>50.50505050505051</v>
      </c>
      <c r="Q40" s="23" t="n">
        <v>44.05286343612335</v>
      </c>
      <c r="R40" s="23" t="n">
        <v>42.46284501061571</v>
      </c>
      <c r="S40" s="23" t="n">
        <v>41.32231404958678</v>
      </c>
      <c r="T40" s="23" t="n">
        <v>41.49377593360996</v>
      </c>
      <c r="U40" s="23" t="n">
        <v>40.56795131845842</v>
      </c>
      <c r="V40" s="23" t="n">
        <v>37.3134328358209</v>
      </c>
      <c r="W40" s="23" t="n">
        <v>41.75365344467641</v>
      </c>
      <c r="X40" s="23" t="n">
        <v>42.82655246252676</v>
      </c>
      <c r="Y40" s="23" t="n">
        <v>43.7636761487965</v>
      </c>
      <c r="Z40" s="23" t="n">
        <v>45.14672686230249</v>
      </c>
      <c r="AA40" s="23" t="n">
        <v>42.5531914893617</v>
      </c>
      <c r="AB40" s="23" t="n">
        <v>42.01680672268908</v>
      </c>
      <c r="AC40" s="23" t="n">
        <v>48.78048780487805</v>
      </c>
      <c r="AD40" s="23" t="n">
        <v>50</v>
      </c>
      <c r="AE40" s="23" t="n">
        <v>52.91005291005291</v>
      </c>
      <c r="AF40" s="23" t="n">
        <v>50.89058524173028</v>
      </c>
      <c r="AG40" s="23" t="n">
        <v>52.35602094240838</v>
      </c>
      <c r="AH40" s="23" t="n">
        <v>54.34782608695652</v>
      </c>
      <c r="AI40" s="23" t="n">
        <v>52.63157894736842</v>
      </c>
      <c r="AJ40" s="23" t="n">
        <v>57.14285714285715</v>
      </c>
      <c r="AK40" s="23" t="n">
        <v>50.37783375314861</v>
      </c>
      <c r="AL40" s="23" t="n">
        <v>50</v>
      </c>
      <c r="AM40" s="23" t="n">
        <v>51.41388174807198</v>
      </c>
      <c r="AN40" s="23" t="n">
        <v>51.81347150259067</v>
      </c>
      <c r="AO40" s="23" t="n">
        <v>48.78048780487805</v>
      </c>
      <c r="AP40" s="23" t="n">
        <v>51.54639175257732</v>
      </c>
      <c r="AQ40" s="23" t="n">
        <v>54.05405405405406</v>
      </c>
      <c r="AR40" s="23" t="n">
        <v>56.657223796034</v>
      </c>
      <c r="AS40" s="23" t="n">
        <v>53.76344086021506</v>
      </c>
      <c r="AT40" s="23" t="n">
        <v>53.76344086021506</v>
      </c>
      <c r="AU40" s="23" t="n">
        <v>53.47593582887701</v>
      </c>
      <c r="AV40" s="23" t="n">
        <v>55.09641873278237</v>
      </c>
      <c r="AW40" s="23" t="n">
        <v>61.53846153846154</v>
      </c>
      <c r="AX40" s="23" t="n">
        <v>65.14657980456026</v>
      </c>
      <c r="AY40" s="23" t="n">
        <v>63.09148264984227</v>
      </c>
      <c r="AZ40" s="23" t="n">
        <v>63.89776357827476</v>
      </c>
      <c r="BA40" s="23" t="n">
        <v>59.70149253731343</v>
      </c>
      <c r="BB40" s="23" t="n">
        <v>60.42296072507553</v>
      </c>
      <c r="BC40" s="23" t="n">
        <v>61.72839506172839</v>
      </c>
      <c r="BD40" s="23" t="n">
        <v>62.11180124223603</v>
      </c>
      <c r="BE40" s="23" t="n">
        <v>60.790273556231</v>
      </c>
      <c r="BF40" s="23" t="n">
        <v>60.790273556231</v>
      </c>
      <c r="BG40" s="23" t="n">
        <v>57.30659025787966</v>
      </c>
      <c r="BH40" s="23" t="n">
        <v>59.34718100890208</v>
      </c>
      <c r="BI40" s="78">
        <f>SUM(E40:BH40)</f>
        <v/>
      </c>
      <c r="BJ40" s="79">
        <f>BI40*Weekly_Prices_VND!BH40</f>
        <v/>
      </c>
    </row>
    <row r="41" ht="19" customHeight="1">
      <c r="A41" s="69" t="n">
        <v>40</v>
      </c>
      <c r="B41" s="20" t="inlineStr">
        <is>
          <t>VCI</t>
        </is>
      </c>
      <c r="C41" s="21" t="inlineStr">
        <is>
          <t>Ngân Hàng &amp; Tài Chính</t>
        </is>
      </c>
      <c r="D41" s="69" t="inlineStr">
        <is>
          <t>HOSE</t>
        </is>
      </c>
      <c r="E41" s="23" t="n">
        <v>36.63500600756856</v>
      </c>
      <c r="F41" s="23" t="n">
        <v>35.62005258688545</v>
      </c>
      <c r="G41" s="23" t="n">
        <v>36.98630127090566</v>
      </c>
      <c r="H41" s="23" t="n">
        <v>37.34439894554588</v>
      </c>
      <c r="I41" s="23" t="n">
        <v>36.63500600756856</v>
      </c>
      <c r="J41" s="23" t="n">
        <v>37.34439894554588</v>
      </c>
      <c r="K41" s="23" t="n">
        <v>37.92134727436613</v>
      </c>
      <c r="L41" s="23" t="n">
        <v>38.028168177197</v>
      </c>
      <c r="M41" s="23" t="n">
        <v>36.68478192724218</v>
      </c>
      <c r="N41" s="23" t="n">
        <v>35.15624892711643</v>
      </c>
      <c r="O41" s="23" t="n">
        <v>32.68765218192951</v>
      </c>
      <c r="P41" s="23" t="n">
        <v>32.53012101776837</v>
      </c>
      <c r="Q41" s="23" t="n">
        <v>31.35888523082865</v>
      </c>
      <c r="R41" s="23" t="n">
        <v>29.03225733285642</v>
      </c>
      <c r="S41" s="23" t="n">
        <v>28.96995623160167</v>
      </c>
      <c r="T41" s="23" t="n">
        <v>29.34782596234789</v>
      </c>
      <c r="U41" s="23" t="n">
        <v>29.18919042184081</v>
      </c>
      <c r="V41" s="23" t="n">
        <v>28.00829920915941</v>
      </c>
      <c r="W41" s="23" t="n">
        <v>30.33707692072507</v>
      </c>
      <c r="X41" s="23" t="n">
        <v>31.21387276189064</v>
      </c>
      <c r="Y41" s="23" t="n">
        <v>30.71672436851334</v>
      </c>
      <c r="Z41" s="23" t="n">
        <v>32.06650794162768</v>
      </c>
      <c r="AA41" s="23" t="n">
        <v>31.39534912241415</v>
      </c>
      <c r="AB41" s="23" t="n">
        <v>31.65299024624234</v>
      </c>
      <c r="AC41" s="23" t="n">
        <v>36.68478192724218</v>
      </c>
      <c r="AD41" s="23" t="n">
        <v>36.38813891655311</v>
      </c>
      <c r="AE41" s="23" t="n">
        <v>37.50000091552737</v>
      </c>
      <c r="AF41" s="23" t="n">
        <v>37.76223642124926</v>
      </c>
      <c r="AG41" s="23" t="n">
        <v>39.30130870287566</v>
      </c>
      <c r="AH41" s="23" t="n">
        <v>40</v>
      </c>
      <c r="AI41" s="23" t="n">
        <v>39.187229310578</v>
      </c>
      <c r="AJ41" s="23" t="n">
        <v>41.28440292996698</v>
      </c>
      <c r="AK41" s="23" t="n">
        <v>38.84892162753611</v>
      </c>
      <c r="AL41" s="23" t="n">
        <v>37.92134727436613</v>
      </c>
      <c r="AM41" s="23" t="n">
        <v>38.24362563912418</v>
      </c>
      <c r="AN41" s="23" t="n">
        <v>40.23845054301475</v>
      </c>
      <c r="AO41" s="23" t="n">
        <v>38.90490001136752</v>
      </c>
      <c r="AP41" s="23" t="n">
        <v>37.60445794973297</v>
      </c>
      <c r="AQ41" s="23" t="n">
        <v>36.83492457329761</v>
      </c>
      <c r="AR41" s="23" t="n">
        <v>39.41605727029946</v>
      </c>
      <c r="AS41" s="23" t="n">
        <v>36.98630127090566</v>
      </c>
      <c r="AT41" s="23" t="n">
        <v>36.98630127090566</v>
      </c>
      <c r="AU41" s="23" t="n">
        <v>35.06493622119564</v>
      </c>
      <c r="AV41" s="23" t="n">
        <v>35.52631542427719</v>
      </c>
      <c r="AW41" s="23" t="n">
        <v>36.53585830366579</v>
      </c>
      <c r="AX41" s="23" t="n">
        <v>37.81512480911486</v>
      </c>
      <c r="AY41" s="23" t="n">
        <v>37.45318352059925</v>
      </c>
      <c r="AZ41" s="23" t="n">
        <v>37.73584905660378</v>
      </c>
      <c r="BA41" s="23" t="n">
        <v>35.84229390681003</v>
      </c>
      <c r="BB41" s="23" t="n">
        <v>36.63003663003663</v>
      </c>
      <c r="BC41" s="23" t="n">
        <v>37.03703703703704</v>
      </c>
      <c r="BD41" s="23" t="n">
        <v>38.16793893129771</v>
      </c>
      <c r="BE41" s="23" t="n">
        <v>38.53564547206166</v>
      </c>
      <c r="BF41" s="23" t="n">
        <v>39.0625</v>
      </c>
      <c r="BG41" s="23" t="n">
        <v>40</v>
      </c>
      <c r="BH41" s="23" t="n">
        <v>40.56795131845842</v>
      </c>
      <c r="BI41" s="78">
        <f>SUM(E41:BH41)</f>
        <v/>
      </c>
      <c r="BJ41" s="79">
        <f>BI41*Weekly_Prices_VND!BH41</f>
        <v/>
      </c>
    </row>
    <row r="42" ht="19" customHeight="1">
      <c r="A42" s="69" t="n">
        <v>41</v>
      </c>
      <c r="B42" s="20" t="inlineStr">
        <is>
          <t>CTS</t>
        </is>
      </c>
      <c r="C42" s="21" t="inlineStr">
        <is>
          <t>Ngân Hàng &amp; Tài Chính</t>
        </is>
      </c>
      <c r="D42" s="69" t="inlineStr">
        <is>
          <t>HOSE</t>
        </is>
      </c>
      <c r="E42" s="23" t="n">
        <v>55.21568789850063</v>
      </c>
      <c r="F42" s="23" t="n">
        <v>54.07385791945973</v>
      </c>
      <c r="G42" s="23" t="n">
        <v>53.83529134671294</v>
      </c>
      <c r="H42" s="23" t="n">
        <v>52.14814718244172</v>
      </c>
      <c r="I42" s="23" t="n">
        <v>48.21092278719397</v>
      </c>
      <c r="J42" s="23" t="n">
        <v>49.32562620423892</v>
      </c>
      <c r="K42" s="23" t="n">
        <v>48.66920152091254</v>
      </c>
      <c r="L42" s="23" t="n">
        <v>47.94007490636704</v>
      </c>
      <c r="M42" s="23" t="n">
        <v>45.71428571428572</v>
      </c>
      <c r="N42" s="23" t="n">
        <v>43.38983050847457</v>
      </c>
      <c r="O42" s="23" t="n">
        <v>41.49108589951378</v>
      </c>
      <c r="P42" s="23" t="n">
        <v>33.55176933158585</v>
      </c>
      <c r="Q42" s="23" t="n">
        <v>31.37254901960784</v>
      </c>
      <c r="R42" s="23" t="n">
        <v>31.25763125763126</v>
      </c>
      <c r="S42" s="23" t="n">
        <v>28.60335195530726</v>
      </c>
      <c r="T42" s="23" t="n">
        <v>30.76923076923077</v>
      </c>
      <c r="U42" s="23" t="n">
        <v>30.91787439613526</v>
      </c>
      <c r="V42" s="23" t="n">
        <v>29.05788876276958</v>
      </c>
      <c r="W42" s="23" t="n">
        <v>32.08020050125313</v>
      </c>
      <c r="X42" s="23" t="n">
        <v>32.6530612244898</v>
      </c>
      <c r="Y42" s="23" t="n">
        <v>31.06796116504854</v>
      </c>
      <c r="Z42" s="23" t="n">
        <v>32.40506329113924</v>
      </c>
      <c r="AA42" s="23" t="n">
        <v>30.33175355450237</v>
      </c>
      <c r="AB42" s="23" t="n">
        <v>28.76404494382022</v>
      </c>
      <c r="AC42" s="23" t="n">
        <v>32.36409608091024</v>
      </c>
      <c r="AD42" s="23" t="n">
        <v>32.90488431876607</v>
      </c>
      <c r="AE42" s="23" t="n">
        <v>36.46723646723647</v>
      </c>
      <c r="AF42" s="23" t="n">
        <v>36.20933521923621</v>
      </c>
      <c r="AG42" s="23" t="n">
        <v>36.57142857142857</v>
      </c>
      <c r="AH42" s="23" t="n">
        <v>37.59177679882526</v>
      </c>
      <c r="AI42" s="23" t="n">
        <v>36.46723646723647</v>
      </c>
      <c r="AJ42" s="23" t="n">
        <v>38.55421686746988</v>
      </c>
      <c r="AK42" s="23" t="n">
        <v>37.98219584569733</v>
      </c>
      <c r="AL42" s="23" t="n">
        <v>37.8698224852071</v>
      </c>
      <c r="AM42" s="23" t="n">
        <v>38.61236802413273</v>
      </c>
      <c r="AN42" s="23" t="n">
        <v>39.87538940809969</v>
      </c>
      <c r="AO42" s="23" t="n">
        <v>37.8698224852071</v>
      </c>
      <c r="AP42" s="23" t="n">
        <v>38.96499238964992</v>
      </c>
      <c r="AQ42" s="23" t="n">
        <v>40.96</v>
      </c>
      <c r="AR42" s="23" t="n">
        <v>42.66666666666666</v>
      </c>
      <c r="AS42" s="23" t="n">
        <v>41.55844155844156</v>
      </c>
      <c r="AT42" s="23" t="n">
        <v>41.55844155844156</v>
      </c>
      <c r="AU42" s="23" t="n">
        <v>40.31496062992126</v>
      </c>
      <c r="AV42" s="23" t="n">
        <v>41.9672131147541</v>
      </c>
      <c r="AW42" s="23" t="n">
        <v>47.49536178107606</v>
      </c>
      <c r="AX42" s="23" t="n">
        <v>48.76190476190476</v>
      </c>
      <c r="AY42" s="23" t="n">
        <v>47.67225325884544</v>
      </c>
      <c r="AZ42" s="23" t="n">
        <v>47.05882352941177</v>
      </c>
      <c r="BA42" s="23" t="n">
        <v>46.29294755877034</v>
      </c>
      <c r="BB42" s="23" t="n">
        <v>47.05882352941177</v>
      </c>
      <c r="BC42" s="23" t="n">
        <v>48.48484848484848</v>
      </c>
      <c r="BD42" s="23" t="n">
        <v>49.04214559386973</v>
      </c>
      <c r="BE42" s="23" t="n">
        <v>47.67225325884544</v>
      </c>
      <c r="BF42" s="23" t="n">
        <v>45.63279857397504</v>
      </c>
      <c r="BG42" s="23" t="n">
        <v>45.47069271758437</v>
      </c>
      <c r="BH42" s="23" t="n">
        <v>46.88644688644688</v>
      </c>
      <c r="BI42" s="78">
        <f>SUM(E42:BH42)</f>
        <v/>
      </c>
      <c r="BJ42" s="79">
        <f>BI42*Weekly_Prices_VND!BH42</f>
        <v/>
      </c>
    </row>
    <row r="43" ht="19" customHeight="1">
      <c r="A43" s="69" t="n">
        <v>42</v>
      </c>
      <c r="B43" s="20" t="inlineStr">
        <is>
          <t>BSI</t>
        </is>
      </c>
      <c r="C43" s="21" t="inlineStr">
        <is>
          <t>Ngân Hàng &amp; Tài Chính</t>
        </is>
      </c>
      <c r="D43" s="69" t="inlineStr">
        <is>
          <t>HOSE</t>
        </is>
      </c>
      <c r="E43" s="23" t="n">
        <v>26.21885141561826</v>
      </c>
      <c r="F43" s="23" t="n">
        <v>25.50052754216353</v>
      </c>
      <c r="G43" s="23" t="n">
        <v>26.71081742196372</v>
      </c>
      <c r="H43" s="23" t="n">
        <v>26.07758488966941</v>
      </c>
      <c r="I43" s="23" t="n">
        <v>25.91006313452454</v>
      </c>
      <c r="J43" s="23" t="n">
        <v>26.79658825001007</v>
      </c>
      <c r="K43" s="23" t="n">
        <v>26.96078353934637</v>
      </c>
      <c r="L43" s="23" t="n">
        <v>27.26146352527995</v>
      </c>
      <c r="M43" s="23" t="n">
        <v>25.70093528313746</v>
      </c>
      <c r="N43" s="23" t="n">
        <v>25.08551859067205</v>
      </c>
      <c r="O43" s="23" t="n">
        <v>24.33628255488759</v>
      </c>
      <c r="P43" s="23" t="n">
        <v>24.14928711964755</v>
      </c>
      <c r="Q43" s="23" t="n">
        <v>24.0700227048011</v>
      </c>
      <c r="R43" s="23" t="n">
        <v>22.86902249757955</v>
      </c>
      <c r="S43" s="23" t="n">
        <v>21.78217872328694</v>
      </c>
      <c r="T43" s="23" t="n">
        <v>19.7132613727422</v>
      </c>
      <c r="U43" s="23" t="n">
        <v>20.91254675199966</v>
      </c>
      <c r="V43" s="23" t="n">
        <v>20.03643030018564</v>
      </c>
      <c r="W43" s="23" t="n">
        <v>21.8253959796086</v>
      </c>
      <c r="X43" s="23" t="n">
        <v>23.08499380717988</v>
      </c>
      <c r="Y43" s="23" t="n">
        <v>23.30508532437811</v>
      </c>
      <c r="Z43" s="23" t="n">
        <v>23.96514120429703</v>
      </c>
      <c r="AA43" s="23" t="n">
        <v>23.99127692165677</v>
      </c>
      <c r="AB43" s="23" t="n">
        <v>25.02844052088878</v>
      </c>
      <c r="AC43" s="23" t="n">
        <v>26.86202634954925</v>
      </c>
      <c r="AD43" s="23" t="n">
        <v>26.12826651811659</v>
      </c>
      <c r="AE43" s="23" t="n">
        <v>27.16049251733736</v>
      </c>
      <c r="AF43" s="23" t="n">
        <v>26.53799883792591</v>
      </c>
      <c r="AG43" s="23" t="n">
        <v>27.12700343781786</v>
      </c>
      <c r="AH43" s="23" t="n">
        <v>27.74275014749173</v>
      </c>
      <c r="AI43" s="23" t="n">
        <v>27.88339642859438</v>
      </c>
      <c r="AJ43" s="23" t="n">
        <v>29.68961020209231</v>
      </c>
      <c r="AK43" s="23" t="n">
        <v>28.64583420753482</v>
      </c>
      <c r="AL43" s="23" t="n">
        <v>29.25532066859835</v>
      </c>
      <c r="AM43" s="23" t="n">
        <v>29.25532066859835</v>
      </c>
      <c r="AN43" s="23" t="n">
        <v>27.53441667639155</v>
      </c>
      <c r="AO43" s="23" t="n">
        <v>26.82926880391137</v>
      </c>
      <c r="AP43" s="23" t="n">
        <v>28.16901408450704</v>
      </c>
      <c r="AQ43" s="23" t="n">
        <v>28.06122476942388</v>
      </c>
      <c r="AR43" s="23" t="n">
        <v>29.3333324166667</v>
      </c>
      <c r="AS43" s="23" t="n">
        <v>28.94736961132276</v>
      </c>
      <c r="AT43" s="23" t="n">
        <v>28.94736961132276</v>
      </c>
      <c r="AU43" s="23" t="n">
        <v>28.27763467748198</v>
      </c>
      <c r="AV43" s="23" t="n">
        <v>29.10052879980439</v>
      </c>
      <c r="AW43" s="23" t="n">
        <v>31.29445286875088</v>
      </c>
      <c r="AX43" s="23" t="n">
        <v>32.16374360847678</v>
      </c>
      <c r="AY43" s="23" t="n">
        <v>32.06997066286688</v>
      </c>
      <c r="AZ43" s="23" t="n">
        <v>30.68340390416351</v>
      </c>
      <c r="BA43" s="23" t="n">
        <v>29.72973004359935</v>
      </c>
      <c r="BB43" s="23" t="n">
        <v>30.01364096533717</v>
      </c>
      <c r="BC43" s="23" t="n">
        <v>30.72625648034453</v>
      </c>
      <c r="BD43" s="23" t="n">
        <v>31.38373716806641</v>
      </c>
      <c r="BE43" s="23" t="n">
        <v>31.47353432299567</v>
      </c>
      <c r="BF43" s="23" t="n">
        <v>31.42857160395408</v>
      </c>
      <c r="BG43" s="23" t="n">
        <v>31.29445286875088</v>
      </c>
      <c r="BH43" s="23" t="n">
        <v>31.42857160395408</v>
      </c>
      <c r="BI43" s="78">
        <f>SUM(E43:BH43)</f>
        <v/>
      </c>
      <c r="BJ43" s="79">
        <f>BI43*Weekly_Prices_VND!BH43</f>
        <v/>
      </c>
    </row>
    <row r="44" ht="19" customHeight="1">
      <c r="A44" s="69" t="n">
        <v>43</v>
      </c>
      <c r="B44" s="20" t="inlineStr">
        <is>
          <t>VDS</t>
        </is>
      </c>
      <c r="C44" s="21" t="inlineStr">
        <is>
          <t>Ngân Hàng &amp; Tài Chính</t>
        </is>
      </c>
      <c r="D44" s="69" t="inlineStr">
        <is>
          <t>HOSE</t>
        </is>
      </c>
      <c r="E44" s="23" t="n">
        <v>68.25938566552901</v>
      </c>
      <c r="F44" s="23" t="n">
        <v>65.57377049180327</v>
      </c>
      <c r="G44" s="23" t="n">
        <v>68.25938566552901</v>
      </c>
      <c r="H44" s="23" t="n">
        <v>66.66666666666667</v>
      </c>
      <c r="I44" s="23" t="n">
        <v>69.18238781254951</v>
      </c>
      <c r="J44" s="23" t="n">
        <v>70.6713780918728</v>
      </c>
      <c r="K44" s="23" t="n">
        <v>69.20415224913495</v>
      </c>
      <c r="L44" s="23" t="n">
        <v>70.92198581560284</v>
      </c>
      <c r="M44" s="23" t="n">
        <v>68.72852233676976</v>
      </c>
      <c r="N44" s="23" t="n">
        <v>65.14657980456026</v>
      </c>
      <c r="O44" s="23" t="n">
        <v>63.69426751592356</v>
      </c>
      <c r="P44" s="23" t="n">
        <v>58.99705014749262</v>
      </c>
      <c r="Q44" s="23" t="n">
        <v>56.33802816901409</v>
      </c>
      <c r="R44" s="23" t="n">
        <v>49.75124378109453</v>
      </c>
      <c r="S44" s="23" t="n">
        <v>48.07692307692308</v>
      </c>
      <c r="T44" s="23" t="n">
        <v>42.73504273504273</v>
      </c>
      <c r="U44" s="23" t="n">
        <v>40.56795131845842</v>
      </c>
      <c r="V44" s="23" t="n">
        <v>40.16064257028113</v>
      </c>
      <c r="W44" s="23" t="n">
        <v>42.3728813559322</v>
      </c>
      <c r="X44" s="23" t="n">
        <v>44.44444444444444</v>
      </c>
      <c r="Y44" s="23" t="n">
        <v>44.7427293064877</v>
      </c>
      <c r="Z44" s="23" t="n">
        <v>46.2962962962963</v>
      </c>
      <c r="AA44" s="23" t="n">
        <v>44.84304932735426</v>
      </c>
      <c r="AB44" s="23" t="n">
        <v>45.87155963302752</v>
      </c>
      <c r="AC44" s="23" t="n">
        <v>52.77044854881267</v>
      </c>
      <c r="AD44" s="23" t="n">
        <v>52.49343832020998</v>
      </c>
      <c r="AE44" s="23" t="n">
        <v>54.7945205479452</v>
      </c>
      <c r="AF44" s="23" t="n">
        <v>53.76344086021506</v>
      </c>
      <c r="AG44" s="23" t="n">
        <v>53.47593582887701</v>
      </c>
      <c r="AH44" s="23" t="n">
        <v>54.34782608695652</v>
      </c>
      <c r="AI44" s="23" t="n">
        <v>54.49591280653951</v>
      </c>
      <c r="AJ44" s="23" t="n">
        <v>59.17159763313609</v>
      </c>
      <c r="AK44" s="23" t="n">
        <v>58.47953216374269</v>
      </c>
      <c r="AL44" s="23" t="n">
        <v>58.30903790087464</v>
      </c>
      <c r="AM44" s="23" t="n">
        <v>59.17159763313609</v>
      </c>
      <c r="AN44" s="23" t="n">
        <v>61.53846153846154</v>
      </c>
      <c r="AO44" s="23" t="n">
        <v>58.30903790087464</v>
      </c>
      <c r="AP44" s="23" t="n">
        <v>57.14285714285715</v>
      </c>
      <c r="AQ44" s="23" t="n">
        <v>54.7945205479452</v>
      </c>
      <c r="AR44" s="23" t="n">
        <v>57.30659025787966</v>
      </c>
      <c r="AS44" s="23" t="n">
        <v>55.71030640668523</v>
      </c>
      <c r="AT44" s="23" t="n">
        <v>55.71030640668523</v>
      </c>
      <c r="AU44" s="23" t="n">
        <v>53.61930294906166</v>
      </c>
      <c r="AV44" s="23" t="n">
        <v>58.99705014749262</v>
      </c>
      <c r="AW44" s="23" t="n">
        <v>66.2251655629139</v>
      </c>
      <c r="AX44" s="23" t="n">
        <v>68.49315068493151</v>
      </c>
      <c r="AY44" s="23" t="n">
        <v>69.44444444444444</v>
      </c>
      <c r="AZ44" s="23" t="n">
        <v>69.20415224913495</v>
      </c>
      <c r="BA44" s="23" t="n">
        <v>65.78947368421052</v>
      </c>
      <c r="BB44" s="23" t="n">
        <v>66.66666666666667</v>
      </c>
      <c r="BC44" s="23" t="n">
        <v>69.68641114982579</v>
      </c>
      <c r="BD44" s="23" t="n">
        <v>69.20415224913495</v>
      </c>
      <c r="BE44" s="23" t="n">
        <v>71.94244604316546</v>
      </c>
      <c r="BF44" s="23" t="n">
        <v>73.52941176470588</v>
      </c>
      <c r="BG44" s="23" t="n">
        <v>73.80073800738008</v>
      </c>
      <c r="BH44" s="23" t="n">
        <v>73.26007326007326</v>
      </c>
      <c r="BI44" s="78">
        <f>SUM(E44:BH44)</f>
        <v/>
      </c>
      <c r="BJ44" s="79">
        <f>BI44*Weekly_Prices_VND!BH44</f>
        <v/>
      </c>
    </row>
    <row r="45" ht="19" customHeight="1">
      <c r="A45" s="69" t="n">
        <v>44</v>
      </c>
      <c r="B45" s="20" t="inlineStr">
        <is>
          <t>FTS</t>
        </is>
      </c>
      <c r="C45" s="21" t="inlineStr">
        <is>
          <t>Ngân Hàng &amp; Tài Chính</t>
        </is>
      </c>
      <c r="D45" s="69" t="inlineStr">
        <is>
          <t>HOSE</t>
        </is>
      </c>
      <c r="E45" s="23" t="n">
        <v>31.22580686082206</v>
      </c>
      <c r="F45" s="23" t="n">
        <v>30.38674131517852</v>
      </c>
      <c r="G45" s="23" t="n">
        <v>31.60919575710753</v>
      </c>
      <c r="H45" s="23" t="n">
        <v>30.3030303030303</v>
      </c>
      <c r="I45" s="23" t="n">
        <v>29.81029936527352</v>
      </c>
      <c r="J45" s="23" t="n">
        <v>30.05464545027846</v>
      </c>
      <c r="K45" s="23" t="n">
        <v>30.26134930628221</v>
      </c>
      <c r="L45" s="23" t="n">
        <v>29.72973004359935</v>
      </c>
      <c r="M45" s="23" t="n">
        <v>27.63819231107649</v>
      </c>
      <c r="N45" s="23" t="n">
        <v>27.46566871875982</v>
      </c>
      <c r="O45" s="23" t="n">
        <v>26.73147099212497</v>
      </c>
      <c r="P45" s="23" t="n">
        <v>27.16049251733736</v>
      </c>
      <c r="Q45" s="23" t="n">
        <v>26.82926880391137</v>
      </c>
      <c r="R45" s="23" t="n">
        <v>25.70093528313746</v>
      </c>
      <c r="S45" s="23" t="n">
        <v>25.85194008206981</v>
      </c>
      <c r="T45" s="23" t="n">
        <v>27.26146352527995</v>
      </c>
      <c r="U45" s="23" t="n">
        <v>27.98982132653822</v>
      </c>
      <c r="V45" s="23" t="n">
        <v>27.46566871875982</v>
      </c>
      <c r="W45" s="23" t="n">
        <v>29.6096910668256</v>
      </c>
      <c r="X45" s="23" t="n">
        <v>29.41176470588235</v>
      </c>
      <c r="Y45" s="23" t="n">
        <v>29.97275172457476</v>
      </c>
      <c r="Z45" s="23" t="n">
        <v>31.79190805283443</v>
      </c>
      <c r="AA45" s="23" t="n">
        <v>30.68340390416351</v>
      </c>
      <c r="AB45" s="23" t="n">
        <v>31.97674491226256</v>
      </c>
      <c r="AC45" s="23" t="n">
        <v>33.23262937926706</v>
      </c>
      <c r="AD45" s="23" t="n">
        <v>31.11739779788497</v>
      </c>
      <c r="AE45" s="23" t="n">
        <v>33.13252992556635</v>
      </c>
      <c r="AF45" s="23" t="n">
        <v>32.64094993324543</v>
      </c>
      <c r="AG45" s="23" t="n">
        <v>33.13252992556635</v>
      </c>
      <c r="AH45" s="23" t="n">
        <v>33.95061789793025</v>
      </c>
      <c r="AI45" s="23" t="n">
        <v>33.89830508474576</v>
      </c>
      <c r="AJ45" s="23" t="n">
        <v>34.37500104904178</v>
      </c>
      <c r="AK45" s="23" t="n">
        <v>32.21083400077494</v>
      </c>
      <c r="AL45" s="23" t="n">
        <v>32.02328893687935</v>
      </c>
      <c r="AM45" s="23" t="n">
        <v>33.38391561641542</v>
      </c>
      <c r="AN45" s="23" t="n">
        <v>34.05572714232141</v>
      </c>
      <c r="AO45" s="23" t="n">
        <v>32.11678868746338</v>
      </c>
      <c r="AP45" s="23" t="n">
        <v>33.74233169265639</v>
      </c>
      <c r="AQ45" s="23" t="n">
        <v>33.43464946349469</v>
      </c>
      <c r="AR45" s="23" t="n">
        <v>34.5368923151165</v>
      </c>
      <c r="AS45" s="23" t="n">
        <v>33.53658556555227</v>
      </c>
      <c r="AT45" s="23" t="n">
        <v>33.53658556555227</v>
      </c>
      <c r="AU45" s="23" t="n">
        <v>33.74233169265639</v>
      </c>
      <c r="AV45" s="23" t="n">
        <v>36.9127528875037</v>
      </c>
      <c r="AW45" s="23" t="n">
        <v>40.29304058130896</v>
      </c>
      <c r="AX45" s="23" t="n">
        <v>44.44444444444444</v>
      </c>
      <c r="AY45" s="23" t="n">
        <v>42.96875131130223</v>
      </c>
      <c r="AZ45" s="23" t="n">
        <v>39.92740386951132</v>
      </c>
      <c r="BA45" s="23" t="n">
        <v>39.28571510782049</v>
      </c>
      <c r="BB45" s="23" t="n">
        <v>39.92740386951132</v>
      </c>
      <c r="BC45" s="23" t="n">
        <v>41.58790078004119</v>
      </c>
      <c r="BD45" s="23" t="n">
        <v>42.22648720739498</v>
      </c>
      <c r="BE45" s="23" t="n">
        <v>41.50943549194559</v>
      </c>
      <c r="BF45" s="23" t="n">
        <v>41.27579616335025</v>
      </c>
      <c r="BG45" s="23" t="n">
        <v>41.06776180698152</v>
      </c>
      <c r="BH45" s="23" t="n">
        <v>41.66666666666666</v>
      </c>
      <c r="BI45" s="78">
        <f>SUM(E45:BH45)</f>
        <v/>
      </c>
      <c r="BJ45" s="79">
        <f>BI45*Weekly_Prices_VND!BH45</f>
        <v/>
      </c>
    </row>
    <row r="46" ht="19" customHeight="1">
      <c r="A46" s="70" t="n">
        <v>45</v>
      </c>
      <c r="B46" s="26" t="inlineStr">
        <is>
          <t>NVL</t>
        </is>
      </c>
      <c r="C46" s="27" t="inlineStr">
        <is>
          <t>Bất Động Sản &amp; KCN</t>
        </is>
      </c>
      <c r="D46" s="70" t="inlineStr">
        <is>
          <t>HOSE</t>
        </is>
      </c>
      <c r="E46" s="29" t="n">
        <v>85.3174571765104</v>
      </c>
      <c r="F46" s="29" t="n">
        <v>88.84297897102304</v>
      </c>
      <c r="G46" s="29" t="n">
        <v>85.99999815234379</v>
      </c>
      <c r="H46" s="29" t="n">
        <v>77.06093216937211</v>
      </c>
      <c r="I46" s="29" t="n">
        <v>75.17482735667761</v>
      </c>
      <c r="J46" s="29" t="n">
        <v>75.43859920540464</v>
      </c>
      <c r="K46" s="29" t="n">
        <v>69.13183312304609</v>
      </c>
      <c r="L46" s="29" t="n">
        <v>70.95709479479818</v>
      </c>
      <c r="M46" s="29" t="n">
        <v>72.14765242530252</v>
      </c>
      <c r="N46" s="29" t="n">
        <v>69.57928923532972</v>
      </c>
      <c r="O46" s="29" t="n">
        <v>65.54878253698497</v>
      </c>
      <c r="P46" s="29" t="n">
        <v>63.79821819800562</v>
      </c>
      <c r="Q46" s="29" t="n">
        <v>64.56456465923624</v>
      </c>
      <c r="R46" s="29" t="n">
        <v>59.06593454133168</v>
      </c>
      <c r="S46" s="29" t="n">
        <v>56.87830952331755</v>
      </c>
      <c r="T46" s="29" t="n">
        <v>63.79821819800562</v>
      </c>
      <c r="U46" s="29" t="n">
        <v>64.37125720271307</v>
      </c>
      <c r="V46" s="29" t="n">
        <v>62.5</v>
      </c>
      <c r="W46" s="29" t="n">
        <v>68.4713366213394</v>
      </c>
      <c r="X46" s="29" t="n">
        <v>71.19205251971199</v>
      </c>
      <c r="Y46" s="29" t="n">
        <v>67.18750102519991</v>
      </c>
      <c r="Z46" s="29" t="n">
        <v>69.35483947436346</v>
      </c>
      <c r="AA46" s="29" t="n">
        <v>70.26143566618683</v>
      </c>
      <c r="AB46" s="29" t="n">
        <v>66.15384515994823</v>
      </c>
      <c r="AC46" s="29" t="n">
        <v>75.70422300926357</v>
      </c>
      <c r="AD46" s="29" t="n">
        <v>77.89855265402042</v>
      </c>
      <c r="AE46" s="29" t="n">
        <v>82.6923064499353</v>
      </c>
      <c r="AF46" s="29" t="n">
        <v>75.97172961364666</v>
      </c>
      <c r="AG46" s="29" t="n">
        <v>69.80519646515756</v>
      </c>
      <c r="AH46" s="29" t="n">
        <v>72.63513753151187</v>
      </c>
      <c r="AI46" s="29" t="n">
        <v>72.39057429478574</v>
      </c>
      <c r="AJ46" s="29" t="n">
        <v>80.52434560011122</v>
      </c>
      <c r="AK46" s="29" t="n">
        <v>77.61732988805367</v>
      </c>
      <c r="AL46" s="29" t="n">
        <v>81.13207771407203</v>
      </c>
      <c r="AM46" s="29" t="n">
        <v>80.52434560011122</v>
      </c>
      <c r="AN46" s="29" t="n">
        <v>85.65736801843306</v>
      </c>
      <c r="AO46" s="29" t="n">
        <v>82.37547707789727</v>
      </c>
      <c r="AP46" s="29" t="n">
        <v>85.99999815234379</v>
      </c>
      <c r="AQ46" s="29" t="n">
        <v>82.6923064499353</v>
      </c>
      <c r="AR46" s="29" t="n">
        <v>88.1147563906647</v>
      </c>
      <c r="AS46" s="29" t="n">
        <v>84.98024043432869</v>
      </c>
      <c r="AT46" s="29" t="n">
        <v>84.98024043432869</v>
      </c>
      <c r="AU46" s="29" t="n">
        <v>87.39837485111764</v>
      </c>
      <c r="AV46" s="29" t="n">
        <v>95.55555617766204</v>
      </c>
      <c r="AW46" s="29" t="n">
        <v>84.98024043432869</v>
      </c>
      <c r="AX46" s="29" t="n">
        <v>79.92565041254203</v>
      </c>
      <c r="AY46" s="29" t="n">
        <v>75.17482735667761</v>
      </c>
      <c r="AZ46" s="29" t="n">
        <v>75.17482735667761</v>
      </c>
      <c r="BA46" s="29" t="n">
        <v>63.98809421522008</v>
      </c>
      <c r="BB46" s="29" t="n">
        <v>63.04985445581449</v>
      </c>
      <c r="BC46" s="29" t="n">
        <v>55.26992232416932</v>
      </c>
      <c r="BD46" s="29" t="n">
        <v>52.4390240155367</v>
      </c>
      <c r="BE46" s="29" t="n">
        <v>62.5</v>
      </c>
      <c r="BF46" s="29" t="n">
        <v>62.13872762216935</v>
      </c>
      <c r="BG46" s="29" t="n">
        <v>69.35483947436346</v>
      </c>
      <c r="BH46" s="29" t="n">
        <v>71.19205251971199</v>
      </c>
      <c r="BI46" s="78">
        <f>SUM(E46:BH46)</f>
        <v/>
      </c>
      <c r="BJ46" s="79">
        <f>BI46*Weekly_Prices_VND!BH46</f>
        <v/>
      </c>
    </row>
    <row r="47" ht="19" customHeight="1">
      <c r="A47" s="70" t="n">
        <v>46</v>
      </c>
      <c r="B47" s="26" t="inlineStr">
        <is>
          <t>KBC</t>
        </is>
      </c>
      <c r="C47" s="27" t="inlineStr">
        <is>
          <t>Bất Động Sản &amp; KCN</t>
        </is>
      </c>
      <c r="D47" s="70" t="inlineStr">
        <is>
          <t>HOSE</t>
        </is>
      </c>
      <c r="E47" s="29" t="n">
        <v>40.73319755600814</v>
      </c>
      <c r="F47" s="29" t="n">
        <v>39.0625</v>
      </c>
      <c r="G47" s="29" t="n">
        <v>37.73584905660378</v>
      </c>
      <c r="H47" s="29" t="n">
        <v>37.10575139146567</v>
      </c>
      <c r="I47" s="29" t="n">
        <v>38.02281368821293</v>
      </c>
      <c r="J47" s="29" t="n">
        <v>39.52569169960474</v>
      </c>
      <c r="K47" s="29" t="n">
        <v>38.98635477582846</v>
      </c>
      <c r="L47" s="29" t="n">
        <v>37.80718336483932</v>
      </c>
      <c r="M47" s="29" t="n">
        <v>37.59398496240601</v>
      </c>
      <c r="N47" s="29" t="n">
        <v>36.4963503649635</v>
      </c>
      <c r="O47" s="29" t="n">
        <v>35.2112676056338</v>
      </c>
      <c r="P47" s="29" t="n">
        <v>35.1493848857645</v>
      </c>
      <c r="Q47" s="29" t="n">
        <v>31.5955766192733</v>
      </c>
      <c r="R47" s="29" t="n">
        <v>29.45508100147275</v>
      </c>
      <c r="S47" s="29" t="n">
        <v>29.80625931445604</v>
      </c>
      <c r="T47" s="29" t="n">
        <v>25.15723270440252</v>
      </c>
      <c r="U47" s="29" t="n">
        <v>24.81389578163772</v>
      </c>
      <c r="V47" s="29" t="n">
        <v>24.81389578163772</v>
      </c>
      <c r="W47" s="29" t="n">
        <v>26.10966057441253</v>
      </c>
      <c r="X47" s="29" t="n">
        <v>27.24795640326975</v>
      </c>
      <c r="Y47" s="29" t="n">
        <v>27.10027100271003</v>
      </c>
      <c r="Z47" s="29" t="n">
        <v>28.57142857142857</v>
      </c>
      <c r="AA47" s="29" t="n">
        <v>28.61230329041488</v>
      </c>
      <c r="AB47" s="29" t="n">
        <v>27.02702702702703</v>
      </c>
      <c r="AC47" s="29" t="n">
        <v>29.76190476190476</v>
      </c>
      <c r="AD47" s="29" t="n">
        <v>28.16901408450704</v>
      </c>
      <c r="AE47" s="29" t="n">
        <v>29.54209748892171</v>
      </c>
      <c r="AF47" s="29" t="n">
        <v>29.76190476190476</v>
      </c>
      <c r="AG47" s="29" t="n">
        <v>28.65329512893983</v>
      </c>
      <c r="AH47" s="29" t="n">
        <v>28.328611898017</v>
      </c>
      <c r="AI47" s="29" t="n">
        <v>28.73563218390805</v>
      </c>
      <c r="AJ47" s="29" t="n">
        <v>30.91190108191654</v>
      </c>
      <c r="AK47" s="29" t="n">
        <v>29.15451895043732</v>
      </c>
      <c r="AL47" s="29" t="n">
        <v>30.12048192771084</v>
      </c>
      <c r="AM47" s="29" t="n">
        <v>28.28854314002829</v>
      </c>
      <c r="AN47" s="29" t="n">
        <v>27.77777777777778</v>
      </c>
      <c r="AO47" s="29" t="n">
        <v>28.08988764044944</v>
      </c>
      <c r="AP47" s="29" t="n">
        <v>27.54820936639118</v>
      </c>
      <c r="AQ47" s="29" t="n">
        <v>28.65329512893983</v>
      </c>
      <c r="AR47" s="29" t="n">
        <v>29.23976608187134</v>
      </c>
      <c r="AS47" s="29" t="n">
        <v>29.28257686676428</v>
      </c>
      <c r="AT47" s="29" t="n">
        <v>29.28257686676428</v>
      </c>
      <c r="AU47" s="29" t="n">
        <v>28.24858757062147</v>
      </c>
      <c r="AV47" s="29" t="n">
        <v>31.15264797507788</v>
      </c>
      <c r="AW47" s="29" t="n">
        <v>31.29890453834116</v>
      </c>
      <c r="AX47" s="29" t="n">
        <v>34.42340791738382</v>
      </c>
      <c r="AY47" s="29" t="n">
        <v>32.57328990228013</v>
      </c>
      <c r="AZ47" s="29" t="n">
        <v>31.25</v>
      </c>
      <c r="BA47" s="29" t="n">
        <v>29.45508100147275</v>
      </c>
      <c r="BB47" s="29" t="n">
        <v>28.53067047075606</v>
      </c>
      <c r="BC47" s="29" t="n">
        <v>29.23976608187134</v>
      </c>
      <c r="BD47" s="29" t="n">
        <v>29.49852507374631</v>
      </c>
      <c r="BE47" s="29" t="n">
        <v>29.76190476190476</v>
      </c>
      <c r="BF47" s="29" t="n">
        <v>31.201248049922</v>
      </c>
      <c r="BG47" s="29" t="n">
        <v>31.74603174603175</v>
      </c>
      <c r="BH47" s="29" t="n">
        <v>32.78688524590164</v>
      </c>
      <c r="BI47" s="78">
        <f>SUM(E47:BH47)</f>
        <v/>
      </c>
      <c r="BJ47" s="79">
        <f>BI47*Weekly_Prices_VND!BH47</f>
        <v/>
      </c>
    </row>
    <row r="48" ht="19" customHeight="1">
      <c r="A48" s="70" t="n">
        <v>47</v>
      </c>
      <c r="B48" s="26" t="inlineStr">
        <is>
          <t>CII</t>
        </is>
      </c>
      <c r="C48" s="27" t="inlineStr">
        <is>
          <t>Bất Động Sản &amp; KCN</t>
        </is>
      </c>
      <c r="D48" s="70" t="inlineStr">
        <is>
          <t>HOSE</t>
        </is>
      </c>
      <c r="E48" s="29" t="n">
        <v>87.69230756055843</v>
      </c>
      <c r="F48" s="29" t="n">
        <v>84.44444297839509</v>
      </c>
      <c r="G48" s="29" t="n">
        <v>74.02597646696859</v>
      </c>
      <c r="H48" s="29" t="n">
        <v>73.31189867150105</v>
      </c>
      <c r="I48" s="29" t="n">
        <v>73.31189867150105</v>
      </c>
      <c r="J48" s="29" t="n">
        <v>79.44250600764556</v>
      </c>
      <c r="K48" s="29" t="n">
        <v>79.72028146241874</v>
      </c>
      <c r="L48" s="29" t="n">
        <v>76.00000118750002</v>
      </c>
      <c r="M48" s="29" t="n">
        <v>76.5100651082722</v>
      </c>
      <c r="N48" s="29" t="n">
        <v>75.00000183105473</v>
      </c>
      <c r="O48" s="29" t="n">
        <v>71.69811452863566</v>
      </c>
      <c r="P48" s="29" t="n">
        <v>70.3703701158479</v>
      </c>
      <c r="Q48" s="29" t="n">
        <v>69.72476964270686</v>
      </c>
      <c r="R48" s="29" t="n">
        <v>59.70149253731343</v>
      </c>
      <c r="S48" s="29" t="n">
        <v>42.82655246252676</v>
      </c>
      <c r="T48" s="29" t="n">
        <v>40.08016032064128</v>
      </c>
      <c r="U48" s="29" t="n">
        <v>43.29004329004329</v>
      </c>
      <c r="V48" s="29" t="n">
        <v>42.01680672268908</v>
      </c>
      <c r="W48" s="29" t="n">
        <v>42.3728813559322</v>
      </c>
      <c r="X48" s="29" t="n">
        <v>43.57298474945534</v>
      </c>
      <c r="Y48" s="29" t="n">
        <v>38.31417624521073</v>
      </c>
      <c r="Z48" s="29" t="n">
        <v>40.65040650406504</v>
      </c>
      <c r="AA48" s="29" t="n">
        <v>38.53564547206166</v>
      </c>
      <c r="AB48" s="29" t="n">
        <v>33.33333333333334</v>
      </c>
      <c r="AC48" s="29" t="n">
        <v>36.36363636363637</v>
      </c>
      <c r="AD48" s="29" t="n">
        <v>40.98360655737705</v>
      </c>
      <c r="AE48" s="29" t="n">
        <v>43.85964912280702</v>
      </c>
      <c r="AF48" s="29" t="n">
        <v>39.76143141153081</v>
      </c>
      <c r="AG48" s="29" t="n">
        <v>38.02281368821293</v>
      </c>
      <c r="AH48" s="29" t="n">
        <v>37.38317757009346</v>
      </c>
      <c r="AI48" s="29" t="n">
        <v>38.02281368821293</v>
      </c>
      <c r="AJ48" s="29" t="n">
        <v>42.73504273504273</v>
      </c>
      <c r="AK48" s="29" t="n">
        <v>42.64392324093816</v>
      </c>
      <c r="AL48" s="29" t="n">
        <v>44.24778761061947</v>
      </c>
      <c r="AM48" s="29" t="n">
        <v>47.84688995215311</v>
      </c>
      <c r="AN48" s="29" t="n">
        <v>54.49591280653951</v>
      </c>
      <c r="AO48" s="29" t="n">
        <v>53.61930294906166</v>
      </c>
      <c r="AP48" s="29" t="n">
        <v>53.76344086021506</v>
      </c>
      <c r="AQ48" s="29" t="n">
        <v>54.20054200542005</v>
      </c>
      <c r="AR48" s="29" t="n">
        <v>58.47953216374269</v>
      </c>
      <c r="AS48" s="29" t="n">
        <v>55.8659217877095</v>
      </c>
      <c r="AT48" s="29" t="n">
        <v>55.8659217877095</v>
      </c>
      <c r="AU48" s="29" t="n">
        <v>56.657223796034</v>
      </c>
      <c r="AV48" s="29" t="n">
        <v>61.53846153846154</v>
      </c>
      <c r="AW48" s="29" t="n">
        <v>60.06006006006006</v>
      </c>
      <c r="AX48" s="29" t="n">
        <v>61.34969325153374</v>
      </c>
      <c r="AY48" s="29" t="n">
        <v>52.35602094240838</v>
      </c>
      <c r="AZ48" s="29" t="n">
        <v>55.55555555555556</v>
      </c>
      <c r="BA48" s="29" t="n">
        <v>53.90835579514825</v>
      </c>
      <c r="BB48" s="29" t="n">
        <v>52.63157894736842</v>
      </c>
      <c r="BC48" s="29" t="n">
        <v>53.33333333333334</v>
      </c>
      <c r="BD48" s="29" t="n">
        <v>51.81347150259067</v>
      </c>
      <c r="BE48" s="29" t="n">
        <v>54.20054200542005</v>
      </c>
      <c r="BF48" s="29" t="n">
        <v>52.35602094240838</v>
      </c>
      <c r="BG48" s="29" t="n">
        <v>55.55555555555556</v>
      </c>
      <c r="BH48" s="29" t="n">
        <v>58.47953216374269</v>
      </c>
      <c r="BI48" s="78">
        <f>SUM(E48:BH48)</f>
        <v/>
      </c>
      <c r="BJ48" s="79">
        <f>BI48*Weekly_Prices_VND!BH48</f>
        <v/>
      </c>
    </row>
    <row r="49" ht="19" customHeight="1">
      <c r="A49" s="70" t="n">
        <v>48</v>
      </c>
      <c r="B49" s="26" t="inlineStr">
        <is>
          <t>CRE</t>
        </is>
      </c>
      <c r="C49" s="27" t="inlineStr">
        <is>
          <t>Bất Động Sản &amp; KCN</t>
        </is>
      </c>
      <c r="D49" s="70" t="inlineStr">
        <is>
          <t>HOSE</t>
        </is>
      </c>
      <c r="E49" s="29" t="n">
        <v>137.9310344827586</v>
      </c>
      <c r="F49" s="29" t="n">
        <v>136.0544217687075</v>
      </c>
      <c r="G49" s="29" t="n">
        <v>132.8021248339973</v>
      </c>
      <c r="H49" s="29" t="n">
        <v>126.7427122940431</v>
      </c>
      <c r="I49" s="29" t="n">
        <v>115.2073732718894</v>
      </c>
      <c r="J49" s="29" t="n">
        <v>118.3431952662722</v>
      </c>
      <c r="K49" s="29" t="n">
        <v>118.3431952662722</v>
      </c>
      <c r="L49" s="29" t="n">
        <v>119.4743130227001</v>
      </c>
      <c r="M49" s="29" t="n">
        <v>117.9245283018868</v>
      </c>
      <c r="N49" s="29" t="n">
        <v>111.8568232662192</v>
      </c>
      <c r="O49" s="29" t="n">
        <v>107.8748651564186</v>
      </c>
      <c r="P49" s="29" t="n">
        <v>107.9913606911447</v>
      </c>
      <c r="Q49" s="29" t="n">
        <v>114.1552511415525</v>
      </c>
      <c r="R49" s="29" t="n">
        <v>103.0927835051546</v>
      </c>
      <c r="S49" s="29" t="n">
        <v>97.5609756097561</v>
      </c>
      <c r="T49" s="29" t="n">
        <v>96.15384615384616</v>
      </c>
      <c r="U49" s="29" t="n">
        <v>95.69377990430623</v>
      </c>
      <c r="V49" s="29" t="n">
        <v>91.74311926605505</v>
      </c>
      <c r="W49" s="29" t="n">
        <v>96.15384615384616</v>
      </c>
      <c r="X49" s="29" t="n">
        <v>95.23809523809524</v>
      </c>
      <c r="Y49" s="29" t="n">
        <v>91.74311926605505</v>
      </c>
      <c r="Z49" s="29" t="n">
        <v>95.69377990430623</v>
      </c>
      <c r="AA49" s="29" t="n">
        <v>97.08737864077671</v>
      </c>
      <c r="AB49" s="29" t="n">
        <v>97.5609756097561</v>
      </c>
      <c r="AC49" s="29" t="n">
        <v>102.0408163265306</v>
      </c>
      <c r="AD49" s="29" t="n">
        <v>106.951871657754</v>
      </c>
      <c r="AE49" s="29" t="n">
        <v>108.1081081081081</v>
      </c>
      <c r="AF49" s="29" t="n">
        <v>107.0663811563169</v>
      </c>
      <c r="AG49" s="29" t="n">
        <v>105.2631578947368</v>
      </c>
      <c r="AH49" s="29" t="n">
        <v>103.0927835051546</v>
      </c>
      <c r="AI49" s="29" t="n">
        <v>104.602510460251</v>
      </c>
      <c r="AJ49" s="29" t="n">
        <v>111.1111111111111</v>
      </c>
      <c r="AK49" s="29" t="n">
        <v>112.4859392575928</v>
      </c>
      <c r="AL49" s="29" t="n">
        <v>111.1111111111111</v>
      </c>
      <c r="AM49" s="29" t="n">
        <v>116.4144353899884</v>
      </c>
      <c r="AN49" s="29" t="n">
        <v>123.1527093596059</v>
      </c>
      <c r="AO49" s="29" t="n">
        <v>118.3431952662722</v>
      </c>
      <c r="AP49" s="29" t="n">
        <v>126.5822784810127</v>
      </c>
      <c r="AQ49" s="29" t="n">
        <v>131.578947368421</v>
      </c>
      <c r="AR49" s="29" t="n">
        <v>144.9275362318841</v>
      </c>
      <c r="AS49" s="29" t="n">
        <v>128.2051282051282</v>
      </c>
      <c r="AT49" s="29" t="n">
        <v>128.2051282051282</v>
      </c>
      <c r="AU49" s="29" t="n">
        <v>132.8021248339973</v>
      </c>
      <c r="AV49" s="29" t="n">
        <v>142.8571428571429</v>
      </c>
      <c r="AW49" s="29" t="n">
        <v>136.7989056087551</v>
      </c>
      <c r="AX49" s="29" t="n">
        <v>141.4427157001414</v>
      </c>
      <c r="AY49" s="29" t="n">
        <v>130.718954248366</v>
      </c>
      <c r="AZ49" s="29" t="n">
        <v>131.578947368421</v>
      </c>
      <c r="BA49" s="29" t="n">
        <v>129.8701298701299</v>
      </c>
      <c r="BB49" s="29" t="n">
        <v>131.0615989515072</v>
      </c>
      <c r="BC49" s="29" t="n">
        <v>133.5113484646195</v>
      </c>
      <c r="BD49" s="29" t="n">
        <v>130.3780964797914</v>
      </c>
      <c r="BE49" s="29" t="n">
        <v>133.3333333333333</v>
      </c>
      <c r="BF49" s="29" t="n">
        <v>133.3333333333333</v>
      </c>
      <c r="BG49" s="29" t="n">
        <v>127.2264631043257</v>
      </c>
      <c r="BH49" s="29" t="n">
        <v>126.5822784810127</v>
      </c>
      <c r="BI49" s="78">
        <f>SUM(E49:BH49)</f>
        <v/>
      </c>
      <c r="BJ49" s="79">
        <f>BI49*Weekly_Prices_VND!BH49</f>
        <v/>
      </c>
    </row>
    <row r="50" ht="19" customHeight="1">
      <c r="A50" s="70" t="n">
        <v>49</v>
      </c>
      <c r="B50" s="26" t="inlineStr">
        <is>
          <t>DXG</t>
        </is>
      </c>
      <c r="C50" s="27" t="inlineStr">
        <is>
          <t>Bất Động Sản &amp; KCN</t>
        </is>
      </c>
      <c r="D50" s="70" t="inlineStr">
        <is>
          <t>HOSE</t>
        </is>
      </c>
      <c r="E50" s="29" t="n">
        <v>83.10280555558487</v>
      </c>
      <c r="F50" s="29" t="n">
        <v>81.82822146680283</v>
      </c>
      <c r="G50" s="29" t="n">
        <v>79.62985183170822</v>
      </c>
      <c r="H50" s="29" t="n">
        <v>73.89473608249655</v>
      </c>
      <c r="I50" s="29" t="n">
        <v>71.92429013219109</v>
      </c>
      <c r="J50" s="29" t="n">
        <v>71.92429013219109</v>
      </c>
      <c r="K50" s="29" t="n">
        <v>70.15384725000001</v>
      </c>
      <c r="L50" s="29" t="n">
        <v>67.65578454645419</v>
      </c>
      <c r="M50" s="29" t="n">
        <v>67.45562075606816</v>
      </c>
      <c r="N50" s="29" t="n">
        <v>65.32951274774017</v>
      </c>
      <c r="O50" s="29" t="n">
        <v>57.57575484963282</v>
      </c>
      <c r="P50" s="29" t="n">
        <v>57.86802225522759</v>
      </c>
      <c r="Q50" s="29" t="n">
        <v>57.57575484963282</v>
      </c>
      <c r="R50" s="29" t="n">
        <v>55.33980477586839</v>
      </c>
      <c r="S50" s="29" t="n">
        <v>52.05479702746775</v>
      </c>
      <c r="T50" s="29" t="n">
        <v>54.28571398278061</v>
      </c>
      <c r="U50" s="29" t="n">
        <v>49.78166074731607</v>
      </c>
      <c r="V50" s="29" t="n">
        <v>48.20296158242791</v>
      </c>
      <c r="W50" s="29" t="n">
        <v>48.51063813660027</v>
      </c>
      <c r="X50" s="29" t="n">
        <v>49.78166074731607</v>
      </c>
      <c r="Y50" s="29" t="n">
        <v>49.13793161362729</v>
      </c>
      <c r="Z50" s="29" t="n">
        <v>56.7164205558032</v>
      </c>
      <c r="AA50" s="29" t="n">
        <v>55.47445065666798</v>
      </c>
      <c r="AB50" s="29" t="n">
        <v>50.77951011062693</v>
      </c>
      <c r="AC50" s="29" t="n">
        <v>56.85785713397311</v>
      </c>
      <c r="AD50" s="29" t="n">
        <v>53.77358213137475</v>
      </c>
      <c r="AE50" s="29" t="n">
        <v>60.31746069145251</v>
      </c>
      <c r="AF50" s="29" t="n">
        <v>59.22077946112329</v>
      </c>
      <c r="AG50" s="29" t="n">
        <v>59.5300244096354</v>
      </c>
      <c r="AH50" s="29" t="n">
        <v>60.63829623442102</v>
      </c>
      <c r="AI50" s="29" t="n">
        <v>61.12600427368667</v>
      </c>
      <c r="AJ50" s="29" t="n">
        <v>68.05970165125864</v>
      </c>
      <c r="AK50" s="29" t="n">
        <v>64.04494353912858</v>
      </c>
      <c r="AL50" s="29" t="n">
        <v>64.77272648204458</v>
      </c>
      <c r="AM50" s="29" t="n">
        <v>66.66666666666667</v>
      </c>
      <c r="AN50" s="29" t="n">
        <v>73.54838718945109</v>
      </c>
      <c r="AO50" s="29" t="n">
        <v>71.69811452863566</v>
      </c>
      <c r="AP50" s="29" t="n">
        <v>74.50980335087466</v>
      </c>
      <c r="AQ50" s="29" t="n">
        <v>74.02597646696859</v>
      </c>
      <c r="AR50" s="29" t="n">
        <v>79.72028146241874</v>
      </c>
      <c r="AS50" s="29" t="n">
        <v>72.38095453514745</v>
      </c>
      <c r="AT50" s="29" t="n">
        <v>72.38095453514745</v>
      </c>
      <c r="AU50" s="29" t="n">
        <v>75.49668747224631</v>
      </c>
      <c r="AV50" s="29" t="n">
        <v>80.85106483773768</v>
      </c>
      <c r="AW50" s="29" t="n">
        <v>81.42856881576859</v>
      </c>
      <c r="AX50" s="29" t="n">
        <v>81.42856881576859</v>
      </c>
      <c r="AY50" s="29" t="n">
        <v>78.08219157191195</v>
      </c>
      <c r="AZ50" s="29" t="n">
        <v>79.16666570027671</v>
      </c>
      <c r="BA50" s="29" t="n">
        <v>74.75409625436717</v>
      </c>
      <c r="BB50" s="29" t="n">
        <v>76.5100651082722</v>
      </c>
      <c r="BC50" s="29" t="n">
        <v>76.5100651082722</v>
      </c>
      <c r="BD50" s="29" t="n">
        <v>74.26710192216895</v>
      </c>
      <c r="BE50" s="29" t="n">
        <v>73.78640636782451</v>
      </c>
      <c r="BF50" s="29" t="n">
        <v>71.02803790178181</v>
      </c>
      <c r="BG50" s="29" t="n">
        <v>77.28813446746626</v>
      </c>
      <c r="BH50" s="29" t="n">
        <v>76.62835249042146</v>
      </c>
      <c r="BI50" s="78">
        <f>SUM(E50:BH50)</f>
        <v/>
      </c>
      <c r="BJ50" s="79">
        <f>BI50*Weekly_Prices_VND!BH50</f>
        <v/>
      </c>
    </row>
    <row r="51" ht="19" customHeight="1">
      <c r="A51" s="70" t="n">
        <v>50</v>
      </c>
      <c r="B51" s="26" t="inlineStr">
        <is>
          <t>PDR</t>
        </is>
      </c>
      <c r="C51" s="27" t="inlineStr">
        <is>
          <t>Bất Động Sản &amp; KCN</t>
        </is>
      </c>
      <c r="D51" s="70" t="inlineStr">
        <is>
          <t>HOSE</t>
        </is>
      </c>
      <c r="E51" s="29" t="n">
        <v>65.06024203553675</v>
      </c>
      <c r="F51" s="29" t="n">
        <v>64.28571383729273</v>
      </c>
      <c r="G51" s="29" t="n">
        <v>65.85365696804361</v>
      </c>
      <c r="H51" s="29" t="n">
        <v>61.53846153846154</v>
      </c>
      <c r="I51" s="29" t="n">
        <v>59.17808117845751</v>
      </c>
      <c r="J51" s="29" t="n">
        <v>62.06896468118313</v>
      </c>
      <c r="K51" s="29" t="n">
        <v>60.50420326954315</v>
      </c>
      <c r="L51" s="29" t="n">
        <v>61.18980102259869</v>
      </c>
      <c r="M51" s="29" t="n">
        <v>60.50420326954315</v>
      </c>
      <c r="N51" s="29" t="n">
        <v>56.54450146137718</v>
      </c>
      <c r="O51" s="29" t="n">
        <v>51.67464192097252</v>
      </c>
      <c r="P51" s="29" t="n">
        <v>53.4653481889031</v>
      </c>
      <c r="Q51" s="29" t="n">
        <v>52.17391481569004</v>
      </c>
      <c r="R51" s="29" t="n">
        <v>50.12531328320802</v>
      </c>
      <c r="S51" s="29" t="n">
        <v>40.73319755600814</v>
      </c>
      <c r="T51" s="29" t="n">
        <v>42.10526315789474</v>
      </c>
      <c r="U51" s="29" t="n">
        <v>40.98360655737705</v>
      </c>
      <c r="V51" s="29" t="n">
        <v>38.46153846153846</v>
      </c>
      <c r="W51" s="29" t="n">
        <v>42.73504273504273</v>
      </c>
      <c r="X51" s="29" t="n">
        <v>42.64392324093816</v>
      </c>
      <c r="Y51" s="29" t="n">
        <v>40.32258064516129</v>
      </c>
      <c r="Z51" s="29" t="n">
        <v>43.66812227074236</v>
      </c>
      <c r="AA51" s="29" t="n">
        <v>42.91845493562231</v>
      </c>
      <c r="AB51" s="29" t="n">
        <v>38.02281368821293</v>
      </c>
      <c r="AC51" s="29" t="n">
        <v>42.3728813559322</v>
      </c>
      <c r="AD51" s="29" t="n">
        <v>42.73504273504273</v>
      </c>
      <c r="AE51" s="29" t="n">
        <v>47.28132387706856</v>
      </c>
      <c r="AF51" s="29" t="n">
        <v>45.04504504504504</v>
      </c>
      <c r="AG51" s="29" t="n">
        <v>44.24778761061947</v>
      </c>
      <c r="AH51" s="29" t="n">
        <v>44.44444444444444</v>
      </c>
      <c r="AI51" s="29" t="n">
        <v>45.04504504504504</v>
      </c>
      <c r="AJ51" s="29" t="n">
        <v>50.76142131979695</v>
      </c>
      <c r="AK51" s="29" t="n">
        <v>51.81347150259067</v>
      </c>
      <c r="AL51" s="29" t="n">
        <v>51.6795865633075</v>
      </c>
      <c r="AM51" s="29" t="n">
        <v>53.19148936170212</v>
      </c>
      <c r="AN51" s="29" t="n">
        <v>57.97101449275362</v>
      </c>
      <c r="AO51" s="29" t="n">
        <v>57.14285714285715</v>
      </c>
      <c r="AP51" s="29" t="n">
        <v>56.17977528089887</v>
      </c>
      <c r="AQ51" s="29" t="n">
        <v>56.49717514124294</v>
      </c>
      <c r="AR51" s="29" t="n">
        <v>58.8235294117647</v>
      </c>
      <c r="AS51" s="29" t="n">
        <v>57.47126436781609</v>
      </c>
      <c r="AT51" s="29" t="n">
        <v>57.47126436781609</v>
      </c>
      <c r="AU51" s="29" t="n">
        <v>60.97560975609756</v>
      </c>
      <c r="AV51" s="29" t="n">
        <v>64.1025641025641</v>
      </c>
      <c r="AW51" s="29" t="n">
        <v>64.72491909385113</v>
      </c>
      <c r="AX51" s="29" t="n">
        <v>66.00660066006601</v>
      </c>
      <c r="AY51" s="29" t="n">
        <v>60.97560975609756</v>
      </c>
      <c r="AZ51" s="29" t="n">
        <v>62.89308176100629</v>
      </c>
      <c r="BA51" s="29" t="n">
        <v>60.97560975609756</v>
      </c>
      <c r="BB51" s="29" t="n">
        <v>61.91950464396285</v>
      </c>
      <c r="BC51" s="29" t="n">
        <v>61.72839506172839</v>
      </c>
      <c r="BD51" s="29" t="n">
        <v>60.790273556231</v>
      </c>
      <c r="BE51" s="29" t="n">
        <v>61.16207951070336</v>
      </c>
      <c r="BF51" s="29" t="n">
        <v>60.42296072507553</v>
      </c>
      <c r="BG51" s="29" t="n">
        <v>63.29113924050633</v>
      </c>
      <c r="BH51" s="29" t="n">
        <v>62.30529595015577</v>
      </c>
      <c r="BI51" s="78">
        <f>SUM(E51:BH51)</f>
        <v/>
      </c>
      <c r="BJ51" s="79">
        <f>BI51*Weekly_Prices_VND!BH51</f>
        <v/>
      </c>
    </row>
    <row r="52" ht="19" customHeight="1">
      <c r="A52" s="70" t="n">
        <v>51</v>
      </c>
      <c r="B52" s="26" t="inlineStr">
        <is>
          <t>DXS</t>
        </is>
      </c>
      <c r="C52" s="27" t="inlineStr">
        <is>
          <t>Bất Động Sản &amp; KCN</t>
        </is>
      </c>
      <c r="D52" s="70" t="inlineStr">
        <is>
          <t>HOSE</t>
        </is>
      </c>
      <c r="E52" s="29" t="n">
        <v>154.320987654321</v>
      </c>
      <c r="F52" s="29" t="n">
        <v>150.1501501501502</v>
      </c>
      <c r="G52" s="29" t="n">
        <v>150.6024096385542</v>
      </c>
      <c r="H52" s="29" t="n">
        <v>140.8450704225352</v>
      </c>
      <c r="I52" s="29" t="n">
        <v>120.627261761158</v>
      </c>
      <c r="J52" s="29" t="n">
        <v>110.01100110011</v>
      </c>
      <c r="K52" s="29" t="n">
        <v>112.4859392575928</v>
      </c>
      <c r="L52" s="29" t="n">
        <v>108.695652173913</v>
      </c>
      <c r="M52" s="29" t="n">
        <v>108.4598698481562</v>
      </c>
      <c r="N52" s="29" t="n">
        <v>103.950103950104</v>
      </c>
      <c r="O52" s="29" t="n">
        <v>92.5925925925926</v>
      </c>
      <c r="P52" s="29" t="n">
        <v>88.49557522123894</v>
      </c>
      <c r="Q52" s="29" t="n">
        <v>91.32420091324201</v>
      </c>
      <c r="R52" s="29" t="n">
        <v>82.3045267489712</v>
      </c>
      <c r="S52" s="29" t="n">
        <v>78.74015748031496</v>
      </c>
      <c r="T52" s="29" t="n">
        <v>81.9672131147541</v>
      </c>
      <c r="U52" s="29" t="n">
        <v>78.43137254901961</v>
      </c>
      <c r="V52" s="29" t="n">
        <v>73.52941176470588</v>
      </c>
      <c r="W52" s="29" t="n">
        <v>74.07407407407408</v>
      </c>
      <c r="X52" s="29" t="n">
        <v>77.51937984496124</v>
      </c>
      <c r="Y52" s="29" t="n">
        <v>76.33587786259542</v>
      </c>
      <c r="Z52" s="29" t="n">
        <v>84.38818565400844</v>
      </c>
      <c r="AA52" s="29" t="n">
        <v>83.33333333333333</v>
      </c>
      <c r="AB52" s="29" t="n">
        <v>81.30081300813008</v>
      </c>
      <c r="AC52" s="29" t="n">
        <v>93.89671361502347</v>
      </c>
      <c r="AD52" s="29" t="n">
        <v>90.09009009009009</v>
      </c>
      <c r="AE52" s="29" t="n">
        <v>103.1991744066047</v>
      </c>
      <c r="AF52" s="29" t="n">
        <v>101.010101010101</v>
      </c>
      <c r="AG52" s="29" t="n">
        <v>98.03921568627452</v>
      </c>
      <c r="AH52" s="29" t="n">
        <v>100</v>
      </c>
      <c r="AI52" s="29" t="n">
        <v>97.5609756097561</v>
      </c>
      <c r="AJ52" s="29" t="n">
        <v>110.1321585903084</v>
      </c>
      <c r="AK52" s="29" t="n">
        <v>106.3829787234042</v>
      </c>
      <c r="AL52" s="29" t="n">
        <v>109.2896174863388</v>
      </c>
      <c r="AM52" s="29" t="n">
        <v>110.2535832414553</v>
      </c>
      <c r="AN52" s="29" t="n">
        <v>122.5490196078431</v>
      </c>
      <c r="AO52" s="29" t="n">
        <v>122.3990208078335</v>
      </c>
      <c r="AP52" s="29" t="n">
        <v>128.0409731113957</v>
      </c>
      <c r="AQ52" s="29" t="n">
        <v>134.2281879194631</v>
      </c>
      <c r="AR52" s="29" t="n">
        <v>143.6781609195402</v>
      </c>
      <c r="AS52" s="29" t="n">
        <v>136.2397820163488</v>
      </c>
      <c r="AT52" s="29" t="n">
        <v>136.2397820163488</v>
      </c>
      <c r="AU52" s="29" t="n">
        <v>139.6648044692737</v>
      </c>
      <c r="AV52" s="29" t="n">
        <v>155.7632398753894</v>
      </c>
      <c r="AW52" s="29" t="n">
        <v>160</v>
      </c>
      <c r="AX52" s="29" t="n">
        <v>160.2564102564102</v>
      </c>
      <c r="AY52" s="29" t="n">
        <v>147.9289940828402</v>
      </c>
      <c r="AZ52" s="29" t="n">
        <v>133.8688085676037</v>
      </c>
      <c r="BA52" s="29" t="n">
        <v>130.8900523560209</v>
      </c>
      <c r="BB52" s="29" t="n">
        <v>136.4256480218281</v>
      </c>
      <c r="BC52" s="29" t="n">
        <v>136.986301369863</v>
      </c>
      <c r="BD52" s="29" t="n">
        <v>135.8695652173913</v>
      </c>
      <c r="BE52" s="29" t="n">
        <v>131.2335958005249</v>
      </c>
      <c r="BF52" s="29" t="n">
        <v>117.6470588235294</v>
      </c>
      <c r="BG52" s="29" t="n">
        <v>123.7623762376238</v>
      </c>
      <c r="BH52" s="29" t="n">
        <v>132.2751322751323</v>
      </c>
      <c r="BI52" s="78">
        <f>SUM(E52:BH52)</f>
        <v/>
      </c>
      <c r="BJ52" s="79">
        <f>BI52*Weekly_Prices_VND!BH52</f>
        <v/>
      </c>
    </row>
    <row r="53" ht="19" customHeight="1">
      <c r="A53" s="70" t="n">
        <v>52</v>
      </c>
      <c r="B53" s="26" t="inlineStr">
        <is>
          <t>TCH</t>
        </is>
      </c>
      <c r="C53" s="27" t="inlineStr">
        <is>
          <t>Bất Động Sản &amp; KCN</t>
        </is>
      </c>
      <c r="D53" s="70" t="inlineStr">
        <is>
          <t>HOSE</t>
        </is>
      </c>
      <c r="E53" s="29" t="n">
        <v>72.94232826213194</v>
      </c>
      <c r="F53" s="29" t="n">
        <v>74.79679048725069</v>
      </c>
      <c r="G53" s="29" t="n">
        <v>72.54264448401388</v>
      </c>
      <c r="H53" s="29" t="n">
        <v>66.03008676379194</v>
      </c>
      <c r="I53" s="29" t="n">
        <v>66.86379733478553</v>
      </c>
      <c r="J53" s="29" t="n">
        <v>66.52779854966801</v>
      </c>
      <c r="K53" s="29" t="n">
        <v>68.06700345652752</v>
      </c>
      <c r="L53" s="29" t="n">
        <v>68.06700345652752</v>
      </c>
      <c r="M53" s="29" t="n">
        <v>66.86379733478553</v>
      </c>
      <c r="N53" s="29" t="n">
        <v>56.81987799040965</v>
      </c>
      <c r="O53" s="29" t="n">
        <v>53.59931995862802</v>
      </c>
      <c r="P53" s="29" t="n">
        <v>52.43181201884596</v>
      </c>
      <c r="Q53" s="29" t="n">
        <v>55.27779901078651</v>
      </c>
      <c r="R53" s="29" t="n">
        <v>54.82001208824094</v>
      </c>
      <c r="S53" s="29" t="n">
        <v>50.9193528945862</v>
      </c>
      <c r="T53" s="29" t="n">
        <v>54.09836308074117</v>
      </c>
      <c r="U53" s="29" t="n">
        <v>52.49999974365235</v>
      </c>
      <c r="V53" s="29" t="n">
        <v>47.82608492586256</v>
      </c>
      <c r="W53" s="29" t="n">
        <v>54.60993149866717</v>
      </c>
      <c r="X53" s="29" t="n">
        <v>54.99999946289063</v>
      </c>
      <c r="Y53" s="29" t="n">
        <v>52.02702682105009</v>
      </c>
      <c r="Z53" s="29" t="n">
        <v>52.26244320797493</v>
      </c>
      <c r="AA53" s="29" t="n">
        <v>48.94067806735939</v>
      </c>
      <c r="AB53" s="29" t="n">
        <v>45.29411806336505</v>
      </c>
      <c r="AC53" s="29" t="n">
        <v>52.38095481682267</v>
      </c>
      <c r="AD53" s="29" t="n">
        <v>52.26244320797493</v>
      </c>
      <c r="AE53" s="29" t="n">
        <v>54.99999946289063</v>
      </c>
      <c r="AF53" s="29" t="n">
        <v>54.2253516651737</v>
      </c>
      <c r="AG53" s="29" t="n">
        <v>53.65853760782274</v>
      </c>
      <c r="AH53" s="29" t="n">
        <v>53.7897336200018</v>
      </c>
      <c r="AI53" s="29" t="n">
        <v>53.92156707869273</v>
      </c>
      <c r="AJ53" s="29" t="n">
        <v>59.13978184119929</v>
      </c>
      <c r="AK53" s="29" t="n">
        <v>58.51064133719671</v>
      </c>
      <c r="AL53" s="29" t="n">
        <v>58.8235294117647</v>
      </c>
      <c r="AM53" s="29" t="n">
        <v>60.10929090055693</v>
      </c>
      <c r="AN53" s="29" t="n">
        <v>68.96551724137932</v>
      </c>
      <c r="AO53" s="29" t="n">
        <v>69.18238781254951</v>
      </c>
      <c r="AP53" s="29" t="n">
        <v>71.66123550548289</v>
      </c>
      <c r="AQ53" s="29" t="n">
        <v>70.06369296009728</v>
      </c>
      <c r="AR53" s="29" t="n">
        <v>74.82992998432371</v>
      </c>
      <c r="AS53" s="29" t="n">
        <v>66.0660676160395</v>
      </c>
      <c r="AT53" s="29" t="n">
        <v>66.0660676160395</v>
      </c>
      <c r="AU53" s="29" t="n">
        <v>72.36842198253009</v>
      </c>
      <c r="AV53" s="29" t="n">
        <v>79.71014774789641</v>
      </c>
      <c r="AW53" s="29" t="n">
        <v>72.84768353258906</v>
      </c>
      <c r="AX53" s="29" t="n">
        <v>73.8255057750074</v>
      </c>
      <c r="AY53" s="29" t="n">
        <v>65.86826270270089</v>
      </c>
      <c r="AZ53" s="29" t="n">
        <v>66.66666666666667</v>
      </c>
      <c r="BA53" s="29" t="n">
        <v>64.70588049443128</v>
      </c>
      <c r="BB53" s="29" t="n">
        <v>64.32748721695356</v>
      </c>
      <c r="BC53" s="29" t="n">
        <v>62.85714320790817</v>
      </c>
      <c r="BD53" s="29" t="n">
        <v>60.60606060606061</v>
      </c>
      <c r="BE53" s="29" t="n">
        <v>64.89675553614005</v>
      </c>
      <c r="BF53" s="29" t="n">
        <v>65.47618933437634</v>
      </c>
      <c r="BG53" s="29" t="n">
        <v>70.28754125188837</v>
      </c>
      <c r="BH53" s="29" t="n">
        <v>73.08970004815069</v>
      </c>
      <c r="BI53" s="78">
        <f>SUM(E53:BH53)</f>
        <v/>
      </c>
      <c r="BJ53" s="79">
        <f>BI53*Weekly_Prices_VND!BH53</f>
        <v/>
      </c>
    </row>
    <row r="54" ht="19" customHeight="1">
      <c r="A54" s="70" t="n">
        <v>53</v>
      </c>
      <c r="B54" s="26" t="inlineStr">
        <is>
          <t>HDG</t>
        </is>
      </c>
      <c r="C54" s="27" t="inlineStr">
        <is>
          <t>Bất Động Sản &amp; KCN</t>
        </is>
      </c>
      <c r="D54" s="70" t="inlineStr">
        <is>
          <t>HOSE</t>
        </is>
      </c>
      <c r="E54" s="29" t="n">
        <v>49.59016441076618</v>
      </c>
      <c r="F54" s="29" t="n">
        <v>48.79032396393938</v>
      </c>
      <c r="G54" s="29" t="n">
        <v>46.71814604877174</v>
      </c>
      <c r="H54" s="29" t="n">
        <v>44.89796061536864</v>
      </c>
      <c r="I54" s="29" t="n">
        <v>44.8148163384667</v>
      </c>
      <c r="J54" s="29" t="n">
        <v>40.96834115425901</v>
      </c>
      <c r="K54" s="29" t="n">
        <v>44.2655953009304</v>
      </c>
      <c r="L54" s="29" t="n">
        <v>43.05283625694605</v>
      </c>
      <c r="M54" s="29" t="n">
        <v>43.47826086956522</v>
      </c>
      <c r="N54" s="29" t="n">
        <v>42.96875131130223</v>
      </c>
      <c r="O54" s="29" t="n">
        <v>39.00709273890588</v>
      </c>
      <c r="P54" s="29" t="n">
        <v>39.21568627450981</v>
      </c>
      <c r="Q54" s="29" t="n">
        <v>42.0650108169518</v>
      </c>
      <c r="R54" s="29" t="n">
        <v>39.49730727879059</v>
      </c>
      <c r="S54" s="29" t="n">
        <v>33.38391561641542</v>
      </c>
      <c r="T54" s="29" t="n">
        <v>35.31300182655122</v>
      </c>
      <c r="U54" s="29" t="n">
        <v>34.37500104904178</v>
      </c>
      <c r="V54" s="29" t="n">
        <v>33.69065829769658</v>
      </c>
      <c r="W54" s="29" t="n">
        <v>34.92063535367851</v>
      </c>
      <c r="X54" s="29" t="n">
        <v>34.9761537092655</v>
      </c>
      <c r="Y54" s="29" t="n">
        <v>34.00309016364319</v>
      </c>
      <c r="Z54" s="29" t="n">
        <v>35.77235840521517</v>
      </c>
      <c r="AA54" s="29" t="n">
        <v>33.48553993667309</v>
      </c>
      <c r="AB54" s="29" t="n">
        <v>30.81232543568899</v>
      </c>
      <c r="AC54" s="29" t="n">
        <v>34.81012572166422</v>
      </c>
      <c r="AD54" s="29" t="n">
        <v>35.48387074417924</v>
      </c>
      <c r="AE54" s="29" t="n">
        <v>36.42384176629453</v>
      </c>
      <c r="AF54" s="29" t="n">
        <v>33.63914292719937</v>
      </c>
      <c r="AG54" s="29" t="n">
        <v>34.05572714232141</v>
      </c>
      <c r="AH54" s="29" t="n">
        <v>34.64566886508774</v>
      </c>
      <c r="AI54" s="29" t="n">
        <v>35.31300182655122</v>
      </c>
      <c r="AJ54" s="29" t="n">
        <v>39.14590665704431</v>
      </c>
      <c r="AK54" s="29" t="n">
        <v>39.00709273890588</v>
      </c>
      <c r="AL54" s="29" t="n">
        <v>39.85507387394821</v>
      </c>
      <c r="AM54" s="29" t="n">
        <v>40.29304058130896</v>
      </c>
      <c r="AN54" s="29" t="n">
        <v>41.82509350399932</v>
      </c>
      <c r="AO54" s="29" t="n">
        <v>41.90476128117915</v>
      </c>
      <c r="AP54" s="29" t="n">
        <v>41.82509350399932</v>
      </c>
      <c r="AQ54" s="29" t="n">
        <v>40.07286060037129</v>
      </c>
      <c r="AR54" s="29" t="n">
        <v>42.14559260818988</v>
      </c>
      <c r="AS54" s="29" t="n">
        <v>41.12149562734737</v>
      </c>
      <c r="AT54" s="29" t="n">
        <v>41.12149562734737</v>
      </c>
      <c r="AU54" s="29" t="n">
        <v>40.29304058130896</v>
      </c>
      <c r="AV54" s="29" t="n">
        <v>39.49730727879059</v>
      </c>
      <c r="AW54" s="29" t="n">
        <v>38.66432284347096</v>
      </c>
      <c r="AX54" s="29" t="n">
        <v>37.73584905660378</v>
      </c>
      <c r="AY54" s="29" t="n">
        <v>36.9127528875037</v>
      </c>
      <c r="AZ54" s="29" t="n">
        <v>37.93103397183413</v>
      </c>
      <c r="BA54" s="29" t="n">
        <v>39.28571510782049</v>
      </c>
      <c r="BB54" s="29" t="n">
        <v>39.42652274548439</v>
      </c>
      <c r="BC54" s="29" t="n">
        <v>41.35338315500629</v>
      </c>
      <c r="BD54" s="29" t="n">
        <v>42.47104151021715</v>
      </c>
      <c r="BE54" s="29" t="n">
        <v>43.82470153623554</v>
      </c>
      <c r="BF54" s="29" t="n">
        <v>44.44444444444444</v>
      </c>
      <c r="BG54" s="29" t="n">
        <v>47.51619750144614</v>
      </c>
      <c r="BH54" s="29" t="n">
        <v>47.00854857800977</v>
      </c>
      <c r="BI54" s="78">
        <f>SUM(E54:BH54)</f>
        <v/>
      </c>
      <c r="BJ54" s="79">
        <f>BI54*Weekly_Prices_VND!BH54</f>
        <v/>
      </c>
    </row>
    <row r="55" ht="19" customHeight="1">
      <c r="A55" s="70" t="n">
        <v>54</v>
      </c>
      <c r="B55" s="26" t="inlineStr">
        <is>
          <t>NLG</t>
        </is>
      </c>
      <c r="C55" s="27" t="inlineStr">
        <is>
          <t>Bất Động Sản &amp; KCN</t>
        </is>
      </c>
      <c r="D55" s="70" t="inlineStr">
        <is>
          <t>HOSE</t>
        </is>
      </c>
      <c r="E55" s="29" t="n">
        <v>31.74603174603175</v>
      </c>
      <c r="F55" s="29" t="n">
        <v>29.62962962962963</v>
      </c>
      <c r="G55" s="29" t="n">
        <v>29.06976744186046</v>
      </c>
      <c r="H55" s="29" t="n">
        <v>26.07561929595828</v>
      </c>
      <c r="I55" s="29" t="n">
        <v>27.17391304347826</v>
      </c>
      <c r="J55" s="29" t="n">
        <v>26.31578947368421</v>
      </c>
      <c r="K55" s="29" t="n">
        <v>27.06359945872801</v>
      </c>
      <c r="L55" s="29" t="n">
        <v>27.1370420624152</v>
      </c>
      <c r="M55" s="29" t="n">
        <v>25.64102564102564</v>
      </c>
      <c r="N55" s="29" t="n">
        <v>25.31645569620253</v>
      </c>
      <c r="O55" s="29" t="n">
        <v>24.18379685610641</v>
      </c>
      <c r="P55" s="29" t="n">
        <v>24.72187886279357</v>
      </c>
      <c r="Q55" s="29" t="n">
        <v>24.09638554216868</v>
      </c>
      <c r="R55" s="29" t="n">
        <v>23.83790226460071</v>
      </c>
      <c r="S55" s="29" t="n">
        <v>21.27659574468085</v>
      </c>
      <c r="T55" s="29" t="n">
        <v>23.98081534772182</v>
      </c>
      <c r="U55" s="29" t="n">
        <v>22.62443438914027</v>
      </c>
      <c r="V55" s="29" t="n">
        <v>22.85714285714286</v>
      </c>
      <c r="W55" s="29" t="n">
        <v>24.75247524752475</v>
      </c>
      <c r="X55" s="29" t="n">
        <v>24.66091245376079</v>
      </c>
      <c r="Y55" s="29" t="n">
        <v>24.44987775061125</v>
      </c>
      <c r="Z55" s="29" t="n">
        <v>25.64102564102564</v>
      </c>
      <c r="AA55" s="29" t="n">
        <v>27.6516381813388</v>
      </c>
      <c r="AB55" s="29" t="n">
        <v>23.78121284185493</v>
      </c>
      <c r="AC55" s="29" t="n">
        <v>26.52519893899204</v>
      </c>
      <c r="AD55" s="29" t="n">
        <v>25.06265664160401</v>
      </c>
      <c r="AE55" s="29" t="n">
        <v>26.56042496679947</v>
      </c>
      <c r="AF55" s="29" t="n">
        <v>26.88172043010753</v>
      </c>
      <c r="AG55" s="29" t="n">
        <v>27.81641168289291</v>
      </c>
      <c r="AH55" s="29" t="n">
        <v>27.81641168289291</v>
      </c>
      <c r="AI55" s="29" t="n">
        <v>28.08988764044944</v>
      </c>
      <c r="AJ55" s="29" t="n">
        <v>30.3951367781155</v>
      </c>
      <c r="AK55" s="29" t="n">
        <v>31.54574132492113</v>
      </c>
      <c r="AL55" s="29" t="n">
        <v>33.22259136212624</v>
      </c>
      <c r="AM55" s="29" t="n">
        <v>32.84072249589491</v>
      </c>
      <c r="AN55" s="29" t="n">
        <v>34.30531732418525</v>
      </c>
      <c r="AO55" s="29" t="n">
        <v>32.62642740619902</v>
      </c>
      <c r="AP55" s="29" t="n">
        <v>33.67003367003367</v>
      </c>
      <c r="AQ55" s="29" t="n">
        <v>33.95585738539898</v>
      </c>
      <c r="AR55" s="29" t="n">
        <v>36.96857670979667</v>
      </c>
      <c r="AS55" s="29" t="n">
        <v>34.48275862068966</v>
      </c>
      <c r="AT55" s="29" t="n">
        <v>34.48275862068966</v>
      </c>
      <c r="AU55" s="29" t="n">
        <v>35.90664272890485</v>
      </c>
      <c r="AV55" s="29" t="n">
        <v>38.46153846153846</v>
      </c>
      <c r="AW55" s="29" t="n">
        <v>37.87878787878788</v>
      </c>
      <c r="AX55" s="29" t="n">
        <v>36.10108303249098</v>
      </c>
      <c r="AY55" s="29" t="n">
        <v>34.07155025553663</v>
      </c>
      <c r="AZ55" s="29" t="n">
        <v>35.58718861209965</v>
      </c>
      <c r="BA55" s="29" t="n">
        <v>34.24657534246575</v>
      </c>
      <c r="BB55" s="29" t="n">
        <v>35.02626970227671</v>
      </c>
      <c r="BC55" s="29" t="n">
        <v>36.16636528028933</v>
      </c>
      <c r="BD55" s="29" t="n">
        <v>36.03603603603604</v>
      </c>
      <c r="BE55" s="29" t="n">
        <v>37.73584905660378</v>
      </c>
      <c r="BF55" s="29" t="n">
        <v>37.73584905660378</v>
      </c>
      <c r="BG55" s="29" t="n">
        <v>39.21568627450981</v>
      </c>
      <c r="BH55" s="29" t="n">
        <v>37.87878787878788</v>
      </c>
      <c r="BI55" s="78">
        <f>SUM(E55:BH55)</f>
        <v/>
      </c>
      <c r="BJ55" s="79">
        <f>BI55*Weekly_Prices_VND!BH55</f>
        <v/>
      </c>
    </row>
    <row r="56" ht="19" customHeight="1">
      <c r="A56" s="70" t="n">
        <v>55</v>
      </c>
      <c r="B56" s="26" t="inlineStr">
        <is>
          <t>KHG</t>
        </is>
      </c>
      <c r="C56" s="27" t="inlineStr">
        <is>
          <t>Bất Động Sản &amp; KCN</t>
        </is>
      </c>
      <c r="D56" s="70" t="inlineStr">
        <is>
          <t>HOSE</t>
        </is>
      </c>
      <c r="E56" s="29" t="n">
        <v>186.219739292365</v>
      </c>
      <c r="F56" s="29" t="n">
        <v>187.6172607879925</v>
      </c>
      <c r="G56" s="29" t="n">
        <v>189.0359168241966</v>
      </c>
      <c r="H56" s="29" t="n">
        <v>183.1501831501832</v>
      </c>
      <c r="I56" s="29" t="n">
        <v>175.1313485113835</v>
      </c>
      <c r="J56" s="29" t="n">
        <v>169.2047377326565</v>
      </c>
      <c r="K56" s="29" t="n">
        <v>152.9051987767584</v>
      </c>
      <c r="L56" s="29" t="n">
        <v>156.00624024961</v>
      </c>
      <c r="M56" s="29" t="n">
        <v>157.4803149606299</v>
      </c>
      <c r="N56" s="29" t="n">
        <v>147.2754050073638</v>
      </c>
      <c r="O56" s="29" t="n">
        <v>144.5086705202312</v>
      </c>
      <c r="P56" s="29" t="n">
        <v>145.7725947521866</v>
      </c>
      <c r="Q56" s="29" t="n">
        <v>149.2537313432836</v>
      </c>
      <c r="R56" s="29" t="n">
        <v>143.4720229555237</v>
      </c>
      <c r="S56" s="29" t="n">
        <v>136.986301369863</v>
      </c>
      <c r="T56" s="29" t="n">
        <v>143.4720229555237</v>
      </c>
      <c r="U56" s="29" t="n">
        <v>145.3488372093023</v>
      </c>
      <c r="V56" s="29" t="n">
        <v>138.121546961326</v>
      </c>
      <c r="W56" s="29" t="n">
        <v>139.0820584144645</v>
      </c>
      <c r="X56" s="29" t="n">
        <v>141.0437235543018</v>
      </c>
      <c r="Y56" s="29" t="n">
        <v>141.4427157001414</v>
      </c>
      <c r="Z56" s="29" t="n">
        <v>148.1481481481482</v>
      </c>
      <c r="AA56" s="29" t="n">
        <v>143.6781609195402</v>
      </c>
      <c r="AB56" s="29" t="n">
        <v>141.8439716312057</v>
      </c>
      <c r="AC56" s="29" t="n">
        <v>140.8450704225352</v>
      </c>
      <c r="AD56" s="29" t="n">
        <v>121.9512195121951</v>
      </c>
      <c r="AE56" s="29" t="n">
        <v>127.2264631043257</v>
      </c>
      <c r="AF56" s="29" t="n">
        <v>131.578947368421</v>
      </c>
      <c r="AG56" s="29" t="n">
        <v>132.2751322751323</v>
      </c>
      <c r="AH56" s="29" t="n">
        <v>133.155792276964</v>
      </c>
      <c r="AI56" s="29" t="n">
        <v>134.5895020188425</v>
      </c>
      <c r="AJ56" s="29" t="n">
        <v>141.4427157001414</v>
      </c>
      <c r="AK56" s="29" t="n">
        <v>141.2429378531073</v>
      </c>
      <c r="AL56" s="29" t="n">
        <v>144.9275362318841</v>
      </c>
      <c r="AM56" s="29" t="n">
        <v>145.1378809869376</v>
      </c>
      <c r="AN56" s="29" t="n">
        <v>147.2754050073638</v>
      </c>
      <c r="AO56" s="29" t="n">
        <v>140.8450704225352</v>
      </c>
      <c r="AP56" s="29" t="n">
        <v>142.8571428571429</v>
      </c>
      <c r="AQ56" s="29" t="n">
        <v>144.0922190201729</v>
      </c>
      <c r="AR56" s="29" t="n">
        <v>153.1393568147014</v>
      </c>
      <c r="AS56" s="29" t="n">
        <v>151.9756838905775</v>
      </c>
      <c r="AT56" s="29" t="n">
        <v>151.9756838905775</v>
      </c>
      <c r="AU56" s="29" t="n">
        <v>157.7287066246057</v>
      </c>
      <c r="AV56" s="29" t="n">
        <v>170.0680272108844</v>
      </c>
      <c r="AW56" s="29" t="n">
        <v>181.8181818181818</v>
      </c>
      <c r="AX56" s="29" t="n">
        <v>189.0359168241966</v>
      </c>
      <c r="AY56" s="29" t="n">
        <v>178.5714285714286</v>
      </c>
      <c r="AZ56" s="29" t="n">
        <v>185.5287569573284</v>
      </c>
      <c r="BA56" s="29" t="n">
        <v>178.5714285714286</v>
      </c>
      <c r="BB56" s="29" t="n">
        <v>180.5054151624549</v>
      </c>
      <c r="BC56" s="29" t="n">
        <v>183.4862385321101</v>
      </c>
      <c r="BD56" s="29" t="n">
        <v>184.1620626151013</v>
      </c>
      <c r="BE56" s="29" t="n">
        <v>186.5671641791045</v>
      </c>
      <c r="BF56" s="29" t="n">
        <v>189.753320683112</v>
      </c>
      <c r="BG56" s="29" t="n">
        <v>198.019801980198</v>
      </c>
      <c r="BH56" s="29" t="n">
        <v>199.203187250996</v>
      </c>
      <c r="BI56" s="78">
        <f>SUM(E56:BH56)</f>
        <v/>
      </c>
      <c r="BJ56" s="79">
        <f>BI56*Weekly_Prices_VND!BH56</f>
        <v/>
      </c>
    </row>
    <row r="57" ht="19" customHeight="1">
      <c r="A57" s="70" t="n">
        <v>56</v>
      </c>
      <c r="B57" s="26" t="inlineStr">
        <is>
          <t>HQC</t>
        </is>
      </c>
      <c r="C57" s="27" t="inlineStr">
        <is>
          <t>Bất Động Sản &amp; KCN</t>
        </is>
      </c>
      <c r="D57" s="70" t="inlineStr">
        <is>
          <t>HOSE</t>
        </is>
      </c>
      <c r="E57" s="29" t="n">
        <v>303.030303030303</v>
      </c>
      <c r="F57" s="29" t="n">
        <v>309.5975232198143</v>
      </c>
      <c r="G57" s="29" t="n">
        <v>317.4603174603175</v>
      </c>
      <c r="H57" s="29" t="n">
        <v>307.6923076923077</v>
      </c>
      <c r="I57" s="29" t="n">
        <v>293.2551319648094</v>
      </c>
      <c r="J57" s="29" t="n">
        <v>301.2048192771084</v>
      </c>
      <c r="K57" s="29" t="n">
        <v>306.7484662576687</v>
      </c>
      <c r="L57" s="29" t="n">
        <v>311.5264797507788</v>
      </c>
      <c r="M57" s="29" t="n">
        <v>306.7484662576687</v>
      </c>
      <c r="N57" s="29" t="n">
        <v>269.5417789757412</v>
      </c>
      <c r="O57" s="29" t="n">
        <v>265.2519893899204</v>
      </c>
      <c r="P57" s="29" t="n">
        <v>259.0673575129534</v>
      </c>
      <c r="Q57" s="29" t="n">
        <v>263.8522427440633</v>
      </c>
      <c r="R57" s="29" t="n">
        <v>253.1645569620253</v>
      </c>
      <c r="S57" s="29" t="n">
        <v>246.3054187192118</v>
      </c>
      <c r="T57" s="29" t="n">
        <v>251.2562814070352</v>
      </c>
      <c r="U57" s="29" t="n">
        <v>263.1578947368421</v>
      </c>
      <c r="V57" s="29" t="n">
        <v>256.4102564102564</v>
      </c>
      <c r="W57" s="29" t="n">
        <v>271.7391304347826</v>
      </c>
      <c r="X57" s="29" t="n">
        <v>263.1578947368421</v>
      </c>
      <c r="Y57" s="29" t="n">
        <v>260.4166666666667</v>
      </c>
      <c r="Z57" s="29" t="n">
        <v>281.6901408450704</v>
      </c>
      <c r="AA57" s="29" t="n">
        <v>285.7142857142857</v>
      </c>
      <c r="AB57" s="29" t="n">
        <v>287.3563218390805</v>
      </c>
      <c r="AC57" s="29" t="n">
        <v>315.4574132492114</v>
      </c>
      <c r="AD57" s="29" t="n">
        <v>303.030303030303</v>
      </c>
      <c r="AE57" s="29" t="n">
        <v>321.5434083601286</v>
      </c>
      <c r="AF57" s="29" t="n">
        <v>325.7328990228013</v>
      </c>
      <c r="AG57" s="29" t="n">
        <v>302.1148036253776</v>
      </c>
      <c r="AH57" s="29" t="n">
        <v>321.5434083601286</v>
      </c>
      <c r="AI57" s="29" t="n">
        <v>320.5128205128205</v>
      </c>
      <c r="AJ57" s="29" t="n">
        <v>314.4654088050315</v>
      </c>
      <c r="AK57" s="29" t="n">
        <v>320.5128205128205</v>
      </c>
      <c r="AL57" s="29" t="n">
        <v>333.3333333333333</v>
      </c>
      <c r="AM57" s="29" t="n">
        <v>332.2259136212625</v>
      </c>
      <c r="AN57" s="29" t="n">
        <v>357.1428571428572</v>
      </c>
      <c r="AO57" s="29" t="n">
        <v>346.0207612456747</v>
      </c>
      <c r="AP57" s="29" t="n">
        <v>347.2222222222222</v>
      </c>
      <c r="AQ57" s="29" t="n">
        <v>352.112676056338</v>
      </c>
      <c r="AR57" s="29" t="n">
        <v>357.1428571428572</v>
      </c>
      <c r="AS57" s="29" t="n">
        <v>359.7122302158273</v>
      </c>
      <c r="AT57" s="29" t="n">
        <v>359.7122302158273</v>
      </c>
      <c r="AU57" s="29" t="n">
        <v>359.7122302158273</v>
      </c>
      <c r="AV57" s="29" t="n">
        <v>386.1003861003861</v>
      </c>
      <c r="AW57" s="29" t="n">
        <v>387.5968992248062</v>
      </c>
      <c r="AX57" s="29" t="n">
        <v>383.1417624521073</v>
      </c>
      <c r="AY57" s="29" t="n">
        <v>370.3703703703704</v>
      </c>
      <c r="AZ57" s="29" t="n">
        <v>390.625</v>
      </c>
      <c r="BA57" s="29" t="n">
        <v>380.2281368821293</v>
      </c>
      <c r="BB57" s="29" t="n">
        <v>386.1003861003861</v>
      </c>
      <c r="BC57" s="29" t="n">
        <v>389.1050583657587</v>
      </c>
      <c r="BD57" s="29" t="n">
        <v>383.1417624521073</v>
      </c>
      <c r="BE57" s="29" t="n">
        <v>400</v>
      </c>
      <c r="BF57" s="29" t="n">
        <v>400</v>
      </c>
      <c r="BG57" s="29" t="n">
        <v>411.522633744856</v>
      </c>
      <c r="BH57" s="29" t="n">
        <v>414.9377593360996</v>
      </c>
      <c r="BI57" s="78">
        <f>SUM(E57:BH57)</f>
        <v/>
      </c>
      <c r="BJ57" s="79">
        <f>BI57*Weekly_Prices_VND!BH57</f>
        <v/>
      </c>
    </row>
    <row r="58" ht="19" customHeight="1">
      <c r="A58" s="70" t="n">
        <v>57</v>
      </c>
      <c r="B58" s="26" t="inlineStr">
        <is>
          <t>KDH</t>
        </is>
      </c>
      <c r="C58" s="27" t="inlineStr">
        <is>
          <t>Bất Động Sản &amp; KCN</t>
        </is>
      </c>
      <c r="D58" s="70" t="inlineStr">
        <is>
          <t>HOSE</t>
        </is>
      </c>
      <c r="E58" s="29" t="n">
        <v>38.19444418542179</v>
      </c>
      <c r="F58" s="29" t="n">
        <v>37.47870503168451</v>
      </c>
      <c r="G58" s="29" t="n">
        <v>38.93805282813846</v>
      </c>
      <c r="H58" s="29" t="n">
        <v>37.03703703703704</v>
      </c>
      <c r="I58" s="29" t="n">
        <v>36.36363636363637</v>
      </c>
      <c r="J58" s="29" t="n">
        <v>37.03703703703704</v>
      </c>
      <c r="K58" s="29" t="n">
        <v>36.6666676215278</v>
      </c>
      <c r="L58" s="29" t="n">
        <v>38.19444418542179</v>
      </c>
      <c r="M58" s="29" t="n">
        <v>37.47870503168451</v>
      </c>
      <c r="N58" s="29" t="n">
        <v>35.65640126766863</v>
      </c>
      <c r="O58" s="29" t="n">
        <v>34.54231433506045</v>
      </c>
      <c r="P58" s="29" t="n">
        <v>34.72222222222222</v>
      </c>
      <c r="Q58" s="29" t="n">
        <v>36.4963503649635</v>
      </c>
      <c r="R58" s="29" t="n">
        <v>33.44481605351171</v>
      </c>
      <c r="S58" s="29" t="n">
        <v>27.70083102493075</v>
      </c>
      <c r="T58" s="29" t="n">
        <v>27.85515320334262</v>
      </c>
      <c r="U58" s="29" t="n">
        <v>27.85515320334262</v>
      </c>
      <c r="V58" s="29" t="n">
        <v>27.21088435374149</v>
      </c>
      <c r="W58" s="29" t="n">
        <v>28.57142857142857</v>
      </c>
      <c r="X58" s="29" t="n">
        <v>29.94011976047904</v>
      </c>
      <c r="Y58" s="29" t="n">
        <v>29.67359050445104</v>
      </c>
      <c r="Z58" s="29" t="n">
        <v>30.3030303030303</v>
      </c>
      <c r="AA58" s="29" t="n">
        <v>30.81664098613251</v>
      </c>
      <c r="AB58" s="29" t="n">
        <v>29.23976608187134</v>
      </c>
      <c r="AC58" s="29" t="n">
        <v>29.80625931445604</v>
      </c>
      <c r="AD58" s="29" t="n">
        <v>27.89400278940028</v>
      </c>
      <c r="AE58" s="29" t="n">
        <v>30.76923076923077</v>
      </c>
      <c r="AF58" s="29" t="n">
        <v>28.86002886002886</v>
      </c>
      <c r="AG58" s="29" t="n">
        <v>28.69440459110474</v>
      </c>
      <c r="AH58" s="29" t="n">
        <v>28.57142857142857</v>
      </c>
      <c r="AI58" s="29" t="n">
        <v>29.45508100147275</v>
      </c>
      <c r="AJ58" s="29" t="n">
        <v>32.78688524590164</v>
      </c>
      <c r="AK58" s="29" t="n">
        <v>30.62787136294028</v>
      </c>
      <c r="AL58" s="29" t="n">
        <v>31.201248049922</v>
      </c>
      <c r="AM58" s="29" t="n">
        <v>31.74603174603175</v>
      </c>
      <c r="AN58" s="29" t="n">
        <v>34.96503496503497</v>
      </c>
      <c r="AO58" s="29" t="n">
        <v>33.61344537815126</v>
      </c>
      <c r="AP58" s="29" t="n">
        <v>34.60207612456747</v>
      </c>
      <c r="AQ58" s="29" t="n">
        <v>36.36363636363637</v>
      </c>
      <c r="AR58" s="29" t="n">
        <v>39.37007874015748</v>
      </c>
      <c r="AS58" s="29" t="n">
        <v>35.3356890459364</v>
      </c>
      <c r="AT58" s="29" t="n">
        <v>35.3356890459364</v>
      </c>
      <c r="AU58" s="29" t="n">
        <v>36.69724770642202</v>
      </c>
      <c r="AV58" s="29" t="n">
        <v>38.91050583657587</v>
      </c>
      <c r="AW58" s="29" t="n">
        <v>38.46153846153846</v>
      </c>
      <c r="AX58" s="29" t="n">
        <v>39.21568627450981</v>
      </c>
      <c r="AY58" s="29" t="n">
        <v>37.87878787878788</v>
      </c>
      <c r="AZ58" s="29" t="n">
        <v>39.52569169960474</v>
      </c>
      <c r="BA58" s="29" t="n">
        <v>38.16793893129771</v>
      </c>
      <c r="BB58" s="29" t="n">
        <v>38.38771593090211</v>
      </c>
      <c r="BC58" s="29" t="n">
        <v>39.0625</v>
      </c>
      <c r="BD58" s="29" t="n">
        <v>39.37007874015748</v>
      </c>
      <c r="BE58" s="29" t="n">
        <v>41.23711340206186</v>
      </c>
      <c r="BF58" s="29" t="n">
        <v>42.73504273504273</v>
      </c>
      <c r="BG58" s="29" t="n">
        <v>45.04504504504504</v>
      </c>
      <c r="BH58" s="29" t="n">
        <v>44.34589800443459</v>
      </c>
      <c r="BI58" s="78">
        <f>SUM(E58:BH58)</f>
        <v/>
      </c>
      <c r="BJ58" s="79">
        <f>BI58*Weekly_Prices_VND!BH58</f>
        <v/>
      </c>
    </row>
    <row r="59" ht="19" customHeight="1">
      <c r="A59" s="70" t="n">
        <v>58</v>
      </c>
      <c r="B59" s="26" t="inlineStr">
        <is>
          <t>DIG</t>
        </is>
      </c>
      <c r="C59" s="27" t="inlineStr">
        <is>
          <t>Bất Động Sản &amp; KCN</t>
        </is>
      </c>
      <c r="D59" s="70" t="inlineStr">
        <is>
          <t>HOSE</t>
        </is>
      </c>
      <c r="E59" s="29" t="n">
        <v>79.29625195888458</v>
      </c>
      <c r="F59" s="29" t="n">
        <v>76.81824241211682</v>
      </c>
      <c r="G59" s="29" t="n">
        <v>77.30137867461804</v>
      </c>
      <c r="H59" s="29" t="n">
        <v>70.70248023472119</v>
      </c>
      <c r="I59" s="29" t="n">
        <v>65.14161080063175</v>
      </c>
      <c r="J59" s="29" t="n">
        <v>65.14161080063175</v>
      </c>
      <c r="K59" s="29" t="n">
        <v>66.83116008059942</v>
      </c>
      <c r="L59" s="29" t="n">
        <v>67.02431732558313</v>
      </c>
      <c r="M59" s="29" t="n">
        <v>65.69521998628227</v>
      </c>
      <c r="N59" s="29" t="n">
        <v>63.01742831905995</v>
      </c>
      <c r="O59" s="29" t="n">
        <v>57.11924445519397</v>
      </c>
      <c r="P59" s="29" t="n">
        <v>56.0154891579942</v>
      </c>
      <c r="Q59" s="29" t="n">
        <v>53.31129244586275</v>
      </c>
      <c r="R59" s="29" t="n">
        <v>52.58597164445269</v>
      </c>
      <c r="S59" s="29" t="n">
        <v>47.61891918260265</v>
      </c>
      <c r="T59" s="29" t="n">
        <v>47.61891918260265</v>
      </c>
      <c r="U59" s="29" t="n">
        <v>50.08728590008663</v>
      </c>
      <c r="V59" s="29" t="n">
        <v>45.65041996157341</v>
      </c>
      <c r="W59" s="29" t="n">
        <v>48.31335893626817</v>
      </c>
      <c r="X59" s="29" t="n">
        <v>48.01327717155284</v>
      </c>
      <c r="Y59" s="29" t="n">
        <v>45.83085567729277</v>
      </c>
      <c r="Z59" s="29" t="n">
        <v>51.64902630488945</v>
      </c>
      <c r="AA59" s="29" t="n">
        <v>50.9615407584829</v>
      </c>
      <c r="AB59" s="29" t="n">
        <v>43.08943144168485</v>
      </c>
      <c r="AC59" s="29" t="n">
        <v>48.51258702655932</v>
      </c>
      <c r="AD59" s="29" t="n">
        <v>49.88235266608996</v>
      </c>
      <c r="AE59" s="29" t="n">
        <v>53.80710489190657</v>
      </c>
      <c r="AF59" s="29" t="n">
        <v>51.83374003921546</v>
      </c>
      <c r="AG59" s="29" t="n">
        <v>50.47619160289118</v>
      </c>
      <c r="AH59" s="29" t="n">
        <v>51.33171718630005</v>
      </c>
      <c r="AI59" s="29" t="n">
        <v>51.58150714313204</v>
      </c>
      <c r="AJ59" s="29" t="n">
        <v>58.72575884978261</v>
      </c>
      <c r="AK59" s="29" t="n">
        <v>59.05292260641608</v>
      </c>
      <c r="AL59" s="29" t="n">
        <v>60.57142992346942</v>
      </c>
      <c r="AM59" s="29" t="n">
        <v>63.2835823847182</v>
      </c>
      <c r="AN59" s="29" t="n">
        <v>66.24999902954103</v>
      </c>
      <c r="AO59" s="29" t="n">
        <v>65.63467674825557</v>
      </c>
      <c r="AP59" s="29" t="n">
        <v>65.83850739988817</v>
      </c>
      <c r="AQ59" s="29" t="n">
        <v>65.43210010651246</v>
      </c>
      <c r="AR59" s="29" t="n">
        <v>69.28104743201069</v>
      </c>
      <c r="AS59" s="29" t="n">
        <v>66.87697210328992</v>
      </c>
      <c r="AT59" s="29" t="n">
        <v>66.87697210328992</v>
      </c>
      <c r="AU59" s="29" t="n">
        <v>70.903010774488</v>
      </c>
      <c r="AV59" s="29" t="n">
        <v>78.22878420475284</v>
      </c>
      <c r="AW59" s="29" t="n">
        <v>78.22878420475284</v>
      </c>
      <c r="AX59" s="29" t="n">
        <v>79.40074766969661</v>
      </c>
      <c r="AY59" s="29" t="n">
        <v>73.35640287135872</v>
      </c>
      <c r="AZ59" s="29" t="n">
        <v>74.91166057058398</v>
      </c>
      <c r="BA59" s="29" t="n">
        <v>72.85223397035639</v>
      </c>
      <c r="BB59" s="29" t="n">
        <v>73.86759320481623</v>
      </c>
      <c r="BC59" s="29" t="n">
        <v>74.12587210101967</v>
      </c>
      <c r="BD59" s="29" t="n">
        <v>72.10884210029678</v>
      </c>
      <c r="BE59" s="29" t="n">
        <v>73.35640287135872</v>
      </c>
      <c r="BF59" s="29" t="n">
        <v>70.903010774488</v>
      </c>
      <c r="BG59" s="29" t="n">
        <v>78.51852113125867</v>
      </c>
      <c r="BH59" s="29" t="n">
        <v>81.22605655744935</v>
      </c>
      <c r="BI59" s="78">
        <f>SUM(E59:BH59)</f>
        <v/>
      </c>
      <c r="BJ59" s="79">
        <f>BI59*Weekly_Prices_VND!BH59</f>
        <v/>
      </c>
    </row>
    <row r="60" ht="19" customHeight="1">
      <c r="A60" s="70" t="n">
        <v>59</v>
      </c>
      <c r="B60" s="26" t="inlineStr">
        <is>
          <t>HDC</t>
        </is>
      </c>
      <c r="C60" s="27" t="inlineStr">
        <is>
          <t>Bất Động Sản &amp; KCN</t>
        </is>
      </c>
      <c r="D60" s="70" t="inlineStr">
        <is>
          <t>HOSE</t>
        </is>
      </c>
      <c r="E60" s="29" t="n">
        <v>55.75757390955011</v>
      </c>
      <c r="F60" s="29" t="n">
        <v>54.11764457179942</v>
      </c>
      <c r="G60" s="29" t="n">
        <v>55.75757390955011</v>
      </c>
      <c r="H60" s="29" t="n">
        <v>50.3124976047517</v>
      </c>
      <c r="I60" s="29" t="n">
        <v>50.11673185267756</v>
      </c>
      <c r="J60" s="29" t="n">
        <v>50.90909018595043</v>
      </c>
      <c r="K60" s="29" t="n">
        <v>51.00990140045094</v>
      </c>
      <c r="L60" s="29" t="n">
        <v>51.72690578035039</v>
      </c>
      <c r="M60" s="29" t="n">
        <v>50.60903826023523</v>
      </c>
      <c r="N60" s="29" t="n">
        <v>48.78787849912477</v>
      </c>
      <c r="O60" s="29" t="n">
        <v>42.36842122684384</v>
      </c>
      <c r="P60" s="29" t="n">
        <v>39.08952853371437</v>
      </c>
      <c r="Q60" s="29" t="n">
        <v>36.85264584722506</v>
      </c>
      <c r="R60" s="29" t="n">
        <v>35.92747477849168</v>
      </c>
      <c r="S60" s="29" t="n">
        <v>34.71698133677465</v>
      </c>
      <c r="T60" s="29" t="n">
        <v>36.59090800266742</v>
      </c>
      <c r="U60" s="29" t="n">
        <v>36.28169076363817</v>
      </c>
      <c r="V60" s="29" t="n">
        <v>34.43850208389932</v>
      </c>
      <c r="W60" s="29" t="n">
        <v>36.69515677683217</v>
      </c>
      <c r="X60" s="29" t="n">
        <v>36.95839351103006</v>
      </c>
      <c r="Y60" s="29" t="n">
        <v>35.09536754857487</v>
      </c>
      <c r="Z60" s="29" t="n">
        <v>37.33333255555557</v>
      </c>
      <c r="AA60" s="29" t="n">
        <v>35.28767067395385</v>
      </c>
      <c r="AB60" s="29" t="n">
        <v>30.66666698611111</v>
      </c>
      <c r="AC60" s="29" t="n">
        <v>35.97765338004432</v>
      </c>
      <c r="AD60" s="29" t="n">
        <v>37.55101933048733</v>
      </c>
      <c r="AE60" s="29" t="n">
        <v>40.24999966589355</v>
      </c>
      <c r="AF60" s="29" t="n">
        <v>41.0714284281828</v>
      </c>
      <c r="AG60" s="29" t="n">
        <v>41.21863871420388</v>
      </c>
      <c r="AH60" s="29" t="n">
        <v>42.20183455990657</v>
      </c>
      <c r="AI60" s="29" t="n">
        <v>42.83053988146481</v>
      </c>
      <c r="AJ60" s="29" t="n">
        <v>47.91666842142747</v>
      </c>
      <c r="AK60" s="29" t="n">
        <v>47.71784290372766</v>
      </c>
      <c r="AL60" s="29" t="n">
        <v>50.4385941148209</v>
      </c>
      <c r="AM60" s="29" t="n">
        <v>50.66079186181873</v>
      </c>
      <c r="AN60" s="29" t="n">
        <v>55.69007342931967</v>
      </c>
      <c r="AO60" s="29" t="n">
        <v>53.99061280400036</v>
      </c>
      <c r="AP60" s="29" t="n">
        <v>52.75229428691623</v>
      </c>
      <c r="AQ60" s="29" t="n">
        <v>52.99539385151995</v>
      </c>
      <c r="AR60" s="29" t="n">
        <v>54.63182948552395</v>
      </c>
      <c r="AS60" s="29" t="n">
        <v>53.99061280400036</v>
      </c>
      <c r="AT60" s="29" t="n">
        <v>53.99061280400036</v>
      </c>
      <c r="AU60" s="29" t="n">
        <v>55.02392627309729</v>
      </c>
      <c r="AV60" s="29" t="n">
        <v>61.82795682693854</v>
      </c>
      <c r="AW60" s="29" t="n">
        <v>63.88888923550829</v>
      </c>
      <c r="AX60" s="29" t="n">
        <v>65.7142844308036</v>
      </c>
      <c r="AY60" s="29" t="n">
        <v>60.68601270376336</v>
      </c>
      <c r="AZ60" s="29" t="n">
        <v>62.16216396691249</v>
      </c>
      <c r="BA60" s="29" t="n">
        <v>60.20942531514695</v>
      </c>
      <c r="BB60" s="29" t="n">
        <v>61.99460998034517</v>
      </c>
      <c r="BC60" s="29" t="n">
        <v>61.49732780898353</v>
      </c>
      <c r="BD60" s="29" t="n">
        <v>60.20942531514695</v>
      </c>
      <c r="BE60" s="29" t="n">
        <v>61.99460998034517</v>
      </c>
      <c r="BF60" s="29" t="n">
        <v>60.84655864580279</v>
      </c>
      <c r="BG60" s="29" t="n">
        <v>63.88888923550829</v>
      </c>
      <c r="BH60" s="29" t="n">
        <v>65.7142844308036</v>
      </c>
      <c r="BI60" s="78">
        <f>SUM(E60:BH60)</f>
        <v/>
      </c>
      <c r="BJ60" s="79">
        <f>BI60*Weekly_Prices_VND!BH60</f>
        <v/>
      </c>
    </row>
    <row r="61" ht="19" customHeight="1">
      <c r="A61" s="70" t="n">
        <v>60</v>
      </c>
      <c r="B61" s="26" t="inlineStr">
        <is>
          <t>SCR</t>
        </is>
      </c>
      <c r="C61" s="27" t="inlineStr">
        <is>
          <t>Bất Động Sản &amp; KCN</t>
        </is>
      </c>
      <c r="D61" s="70" t="inlineStr">
        <is>
          <t>HOSE</t>
        </is>
      </c>
      <c r="E61" s="29" t="n">
        <v>169.4915254237288</v>
      </c>
      <c r="F61" s="29" t="n">
        <v>169.4915254237288</v>
      </c>
      <c r="G61" s="29" t="n">
        <v>165.8374792703151</v>
      </c>
      <c r="H61" s="29" t="n">
        <v>158.2278481012658</v>
      </c>
      <c r="I61" s="29" t="n">
        <v>129.8701298701299</v>
      </c>
      <c r="J61" s="29" t="n">
        <v>133.3333333333333</v>
      </c>
      <c r="K61" s="29" t="n">
        <v>138.8888888888889</v>
      </c>
      <c r="L61" s="29" t="n">
        <v>137.9310344827586</v>
      </c>
      <c r="M61" s="29" t="n">
        <v>137.3626373626374</v>
      </c>
      <c r="N61" s="29" t="n">
        <v>132.9787234042553</v>
      </c>
      <c r="O61" s="29" t="n">
        <v>118.4834123222749</v>
      </c>
      <c r="P61" s="29" t="n">
        <v>120.4819277108434</v>
      </c>
      <c r="Q61" s="29" t="n">
        <v>103.0927835051546</v>
      </c>
      <c r="R61" s="29" t="n">
        <v>105.8201058201058</v>
      </c>
      <c r="S61" s="29" t="n">
        <v>96.15384615384616</v>
      </c>
      <c r="T61" s="29" t="n">
        <v>108.695652173913</v>
      </c>
      <c r="U61" s="29" t="n">
        <v>112.2334455667789</v>
      </c>
      <c r="V61" s="29" t="n">
        <v>107.7586206896552</v>
      </c>
      <c r="W61" s="29" t="n">
        <v>116.0092807424594</v>
      </c>
      <c r="X61" s="29" t="n">
        <v>104.1666666666667</v>
      </c>
      <c r="Y61" s="29" t="n">
        <v>98.03921568627452</v>
      </c>
      <c r="Z61" s="29" t="n">
        <v>107.8748651564186</v>
      </c>
      <c r="AA61" s="29" t="n">
        <v>107.5268817204301</v>
      </c>
      <c r="AB61" s="29" t="n">
        <v>101.5228426395939</v>
      </c>
      <c r="AC61" s="29" t="n">
        <v>119.1895113230036</v>
      </c>
      <c r="AD61" s="29" t="n">
        <v>115.2073732718894</v>
      </c>
      <c r="AE61" s="29" t="n">
        <v>123.7623762376238</v>
      </c>
      <c r="AF61" s="29" t="n">
        <v>113.8952164009112</v>
      </c>
      <c r="AG61" s="29" t="n">
        <v>114.41647597254</v>
      </c>
      <c r="AH61" s="29" t="n">
        <v>120.3369434416366</v>
      </c>
      <c r="AI61" s="29" t="n">
        <v>122.5490196078431</v>
      </c>
      <c r="AJ61" s="29" t="n">
        <v>134.5895020188425</v>
      </c>
      <c r="AK61" s="29" t="n">
        <v>131.578947368421</v>
      </c>
      <c r="AL61" s="29" t="n">
        <v>133.3333333333333</v>
      </c>
      <c r="AM61" s="29" t="n">
        <v>132.9787234042553</v>
      </c>
      <c r="AN61" s="29" t="n">
        <v>138.6962552011096</v>
      </c>
      <c r="AO61" s="29" t="n">
        <v>135.1351351351351</v>
      </c>
      <c r="AP61" s="29" t="n">
        <v>137.7410468319559</v>
      </c>
      <c r="AQ61" s="29" t="n">
        <v>139.8601398601399</v>
      </c>
      <c r="AR61" s="29" t="n">
        <v>144.9275362318841</v>
      </c>
      <c r="AS61" s="29" t="n">
        <v>145.1378809869376</v>
      </c>
      <c r="AT61" s="29" t="n">
        <v>145.1378809869376</v>
      </c>
      <c r="AU61" s="29" t="n">
        <v>155.0387596899225</v>
      </c>
      <c r="AV61" s="29" t="n">
        <v>166.3893510815308</v>
      </c>
      <c r="AW61" s="29" t="n">
        <v>175.1313485113835</v>
      </c>
      <c r="AX61" s="29" t="n">
        <v>170.3577512776831</v>
      </c>
      <c r="AY61" s="29" t="n">
        <v>160.2564102564102</v>
      </c>
      <c r="AZ61" s="29" t="n">
        <v>160.7717041800643</v>
      </c>
      <c r="BA61" s="29" t="n">
        <v>160</v>
      </c>
      <c r="BB61" s="29" t="n">
        <v>160.5136436597111</v>
      </c>
      <c r="BC61" s="29" t="n">
        <v>165.8374792703151</v>
      </c>
      <c r="BD61" s="29" t="n">
        <v>165.2892561983471</v>
      </c>
      <c r="BE61" s="29" t="n">
        <v>175.1313485113835</v>
      </c>
      <c r="BF61" s="29" t="n">
        <v>176.9911504424779</v>
      </c>
      <c r="BG61" s="29" t="n">
        <v>186.9158878504673</v>
      </c>
      <c r="BH61" s="29" t="n">
        <v>189.3939393939394</v>
      </c>
      <c r="BI61" s="78">
        <f>SUM(E61:BH61)</f>
        <v/>
      </c>
      <c r="BJ61" s="79">
        <f>BI61*Weekly_Prices_VND!BH61</f>
        <v/>
      </c>
    </row>
    <row r="62" ht="19" customHeight="1">
      <c r="A62" s="70" t="n">
        <v>61</v>
      </c>
      <c r="B62" s="26" t="inlineStr">
        <is>
          <t>NHA</t>
        </is>
      </c>
      <c r="C62" s="27" t="inlineStr">
        <is>
          <t>Bất Động Sản &amp; KCN</t>
        </is>
      </c>
      <c r="D62" s="70" t="inlineStr">
        <is>
          <t>HOSE</t>
        </is>
      </c>
      <c r="E62" s="29" t="n">
        <v>65.52135257059014</v>
      </c>
      <c r="F62" s="29" t="n">
        <v>64.16261614044444</v>
      </c>
      <c r="G62" s="29" t="n">
        <v>66.93888479817926</v>
      </c>
      <c r="H62" s="29" t="n">
        <v>61.14750701494471</v>
      </c>
      <c r="I62" s="29" t="n">
        <v>58.59969393105174</v>
      </c>
      <c r="J62" s="29" t="n">
        <v>61.14750701494471</v>
      </c>
      <c r="K62" s="29" t="n">
        <v>62.81654801352789</v>
      </c>
      <c r="L62" s="29" t="n">
        <v>63.12984582446315</v>
      </c>
      <c r="M62" s="29" t="n">
        <v>62.0467376746337</v>
      </c>
      <c r="N62" s="29" t="n">
        <v>59.70534943605266</v>
      </c>
      <c r="O62" s="29" t="n">
        <v>54.55833852809701</v>
      </c>
      <c r="P62" s="29" t="n">
        <v>56.63326520749732</v>
      </c>
      <c r="Q62" s="29" t="n">
        <v>53.97669050356036</v>
      </c>
      <c r="R62" s="29" t="n">
        <v>52.73972574518555</v>
      </c>
      <c r="S62" s="29" t="n">
        <v>47.67433068778043</v>
      </c>
      <c r="T62" s="29" t="n">
        <v>50.22830826250766</v>
      </c>
      <c r="U62" s="29" t="n">
        <v>53.86184709736717</v>
      </c>
      <c r="V62" s="29" t="n">
        <v>51.03844291280381</v>
      </c>
      <c r="W62" s="29" t="n">
        <v>55.15265274026278</v>
      </c>
      <c r="X62" s="29" t="n">
        <v>55.39402571105048</v>
      </c>
      <c r="Y62" s="29" t="n">
        <v>52.30386255852516</v>
      </c>
      <c r="Z62" s="29" t="n">
        <v>58.06208492555182</v>
      </c>
      <c r="AA62" s="29" t="n">
        <v>58.32965070450712</v>
      </c>
      <c r="AB62" s="29" t="n">
        <v>56.00678819775078</v>
      </c>
      <c r="AC62" s="29" t="n">
        <v>60.70759923973218</v>
      </c>
      <c r="AD62" s="29" t="n">
        <v>60.13080093404744</v>
      </c>
      <c r="AE62" s="29" t="n">
        <v>63.12984582446315</v>
      </c>
      <c r="AF62" s="29" t="n">
        <v>61.89503122525748</v>
      </c>
      <c r="AG62" s="29" t="n">
        <v>62.0467376746337</v>
      </c>
      <c r="AH62" s="29" t="n">
        <v>60.27397582801669</v>
      </c>
      <c r="AI62" s="29" t="n">
        <v>60.77348263035704</v>
      </c>
      <c r="AJ62" s="29" t="n">
        <v>65.67164293968592</v>
      </c>
      <c r="AK62" s="29" t="n">
        <v>65.47618933437634</v>
      </c>
      <c r="AL62" s="29" t="n">
        <v>67.07317113110453</v>
      </c>
      <c r="AM62" s="29" t="n">
        <v>69.40063134242305</v>
      </c>
      <c r="AN62" s="29" t="n">
        <v>73.3333352430556</v>
      </c>
      <c r="AO62" s="29" t="n">
        <v>70.73955161624677</v>
      </c>
      <c r="AP62" s="29" t="n">
        <v>70.73955161624677</v>
      </c>
      <c r="AQ62" s="29" t="n">
        <v>72.36842198253009</v>
      </c>
      <c r="AR62" s="29" t="n">
        <v>73.8255057750074</v>
      </c>
      <c r="AS62" s="29" t="n">
        <v>74.57627168019248</v>
      </c>
      <c r="AT62" s="29" t="n">
        <v>74.57627168019248</v>
      </c>
      <c r="AU62" s="29" t="n">
        <v>75.3424642415762</v>
      </c>
      <c r="AV62" s="29" t="n">
        <v>84.29118521637976</v>
      </c>
      <c r="AW62" s="29" t="n">
        <v>87.99999725000009</v>
      </c>
      <c r="AX62" s="29" t="n">
        <v>88.70967532345462</v>
      </c>
      <c r="AY62" s="29" t="n">
        <v>81.4814797132202</v>
      </c>
      <c r="AZ62" s="29" t="n">
        <v>84.29118521637976</v>
      </c>
      <c r="BA62" s="29" t="n">
        <v>80</v>
      </c>
      <c r="BB62" s="29" t="n">
        <v>81.78438839853308</v>
      </c>
      <c r="BC62" s="29" t="n">
        <v>84.29118521637976</v>
      </c>
      <c r="BD62" s="29" t="n">
        <v>84.9420830204343</v>
      </c>
      <c r="BE62" s="29" t="n">
        <v>87.3015839184344</v>
      </c>
      <c r="BF62" s="29" t="n">
        <v>87.99999725000009</v>
      </c>
      <c r="BG62" s="29" t="n">
        <v>93.22034129751245</v>
      </c>
      <c r="BH62" s="29" t="n">
        <v>94.01709715601953</v>
      </c>
      <c r="BI62" s="78">
        <f>SUM(E62:BH62)</f>
        <v/>
      </c>
      <c r="BJ62" s="79">
        <f>BI62*Weekly_Prices_VND!BH62</f>
        <v/>
      </c>
    </row>
    <row r="63" ht="19" customHeight="1">
      <c r="A63" s="70" t="n">
        <v>62</v>
      </c>
      <c r="B63" s="26" t="inlineStr">
        <is>
          <t>SZC</t>
        </is>
      </c>
      <c r="C63" s="27" t="inlineStr">
        <is>
          <t>Bất Động Sản &amp; KCN</t>
        </is>
      </c>
      <c r="D63" s="70" t="inlineStr">
        <is>
          <t>HOSE</t>
        </is>
      </c>
      <c r="E63" s="29" t="n">
        <v>30.76923076923077</v>
      </c>
      <c r="F63" s="29" t="n">
        <v>29.62962962962963</v>
      </c>
      <c r="G63" s="29" t="n">
        <v>30.16591251885369</v>
      </c>
      <c r="H63" s="29" t="n">
        <v>28.36879432624113</v>
      </c>
      <c r="I63" s="29" t="n">
        <v>28.40909090909091</v>
      </c>
      <c r="J63" s="29" t="n">
        <v>29.89536621823617</v>
      </c>
      <c r="K63" s="29" t="n">
        <v>29.89536621823617</v>
      </c>
      <c r="L63" s="29" t="n">
        <v>26.42007926023778</v>
      </c>
      <c r="M63" s="29" t="n">
        <v>27.02702702702703</v>
      </c>
      <c r="N63" s="29" t="n">
        <v>27.21088435374149</v>
      </c>
      <c r="O63" s="29" t="n">
        <v>26.77376171352075</v>
      </c>
      <c r="P63" s="29" t="n">
        <v>26.00780234070221</v>
      </c>
      <c r="Q63" s="29" t="n">
        <v>26.59574468085106</v>
      </c>
      <c r="R63" s="29" t="n">
        <v>26.66666666666667</v>
      </c>
      <c r="S63" s="29" t="n">
        <v>25.64102564102564</v>
      </c>
      <c r="T63" s="29" t="n">
        <v>27.1370420624152</v>
      </c>
      <c r="U63" s="29" t="n">
        <v>28.20874471086037</v>
      </c>
      <c r="V63" s="29" t="n">
        <v>28.69440459110474</v>
      </c>
      <c r="W63" s="29" t="n">
        <v>29.58579881656805</v>
      </c>
      <c r="X63" s="29" t="n">
        <v>29.36857562408223</v>
      </c>
      <c r="Y63" s="29" t="n">
        <v>28.57142857142857</v>
      </c>
      <c r="Z63" s="29" t="n">
        <v>29.41176470588235</v>
      </c>
      <c r="AA63" s="29" t="n">
        <v>29.89536621823617</v>
      </c>
      <c r="AB63" s="29" t="n">
        <v>30.76923076923077</v>
      </c>
      <c r="AC63" s="29" t="n">
        <v>33.55704697986577</v>
      </c>
      <c r="AD63" s="29" t="n">
        <v>32.25806451612903</v>
      </c>
      <c r="AE63" s="29" t="n">
        <v>33.00330033003301</v>
      </c>
      <c r="AF63" s="29" t="n">
        <v>31.25</v>
      </c>
      <c r="AG63" s="29" t="n">
        <v>31.34796238244514</v>
      </c>
      <c r="AH63" s="29" t="n">
        <v>32.36245954692556</v>
      </c>
      <c r="AI63" s="29" t="n">
        <v>32.31017770597738</v>
      </c>
      <c r="AJ63" s="29" t="n">
        <v>34.48275862068966</v>
      </c>
      <c r="AK63" s="29" t="n">
        <v>33.8409475465313</v>
      </c>
      <c r="AL63" s="29" t="n">
        <v>34.60207612456747</v>
      </c>
      <c r="AM63" s="29" t="n">
        <v>34.30531732418525</v>
      </c>
      <c r="AN63" s="29" t="n">
        <v>33.00330033003301</v>
      </c>
      <c r="AO63" s="29" t="n">
        <v>32.05128205128205</v>
      </c>
      <c r="AP63" s="29" t="n">
        <v>32</v>
      </c>
      <c r="AQ63" s="29" t="n">
        <v>31.05590062111801</v>
      </c>
      <c r="AR63" s="29" t="n">
        <v>28.53067047075606</v>
      </c>
      <c r="AS63" s="29" t="n">
        <v>29.54209748892171</v>
      </c>
      <c r="AT63" s="29" t="n">
        <v>29.54209748892171</v>
      </c>
      <c r="AU63" s="29" t="n">
        <v>28.98550724637681</v>
      </c>
      <c r="AV63" s="29" t="n">
        <v>32.89473684210526</v>
      </c>
      <c r="AW63" s="29" t="n">
        <v>33.89830508474576</v>
      </c>
      <c r="AX63" s="29" t="n">
        <v>34.42340791738382</v>
      </c>
      <c r="AY63" s="29" t="n">
        <v>33.89830508474576</v>
      </c>
      <c r="AZ63" s="29" t="n">
        <v>35.52397868561279</v>
      </c>
      <c r="BA63" s="29" t="n">
        <v>34.66204506065858</v>
      </c>
      <c r="BB63" s="29" t="n">
        <v>34.36426116838488</v>
      </c>
      <c r="BC63" s="29" t="n">
        <v>36.10108303249098</v>
      </c>
      <c r="BD63" s="29" t="n">
        <v>36.76470588235294</v>
      </c>
      <c r="BE63" s="29" t="n">
        <v>37.45318352059925</v>
      </c>
      <c r="BF63" s="29" t="n">
        <v>38.61003861003861</v>
      </c>
      <c r="BG63" s="29" t="n">
        <v>40.48582995951417</v>
      </c>
      <c r="BH63" s="29" t="n">
        <v>44.15011037527594</v>
      </c>
      <c r="BI63" s="78">
        <f>SUM(E63:BH63)</f>
        <v/>
      </c>
      <c r="BJ63" s="79">
        <f>BI63*Weekly_Prices_VND!BH63</f>
        <v/>
      </c>
    </row>
    <row r="64" ht="19" customHeight="1">
      <c r="A64" s="71" t="n">
        <v>63</v>
      </c>
      <c r="B64" s="32" t="inlineStr">
        <is>
          <t>HSG</t>
        </is>
      </c>
      <c r="C64" s="33" t="inlineStr">
        <is>
          <t>Thép, Vật Liệu &amp; Xây Dựng</t>
        </is>
      </c>
      <c r="D64" s="71" t="inlineStr">
        <is>
          <t>HOSE</t>
        </is>
      </c>
      <c r="E64" s="35" t="n">
        <v>88.13558971919002</v>
      </c>
      <c r="F64" s="35" t="n">
        <v>81.50470419045612</v>
      </c>
      <c r="G64" s="35" t="n">
        <v>80</v>
      </c>
      <c r="H64" s="35" t="n">
        <v>79.75459883787269</v>
      </c>
      <c r="I64" s="35" t="n">
        <v>79.51070478863313</v>
      </c>
      <c r="J64" s="35" t="n">
        <v>78.0780776201314</v>
      </c>
      <c r="K64" s="35" t="n">
        <v>77.61194120349745</v>
      </c>
      <c r="L64" s="35" t="n">
        <v>77.61194120349745</v>
      </c>
      <c r="M64" s="35" t="n">
        <v>76.02339441783379</v>
      </c>
      <c r="N64" s="35" t="n">
        <v>73.44632687316465</v>
      </c>
      <c r="O64" s="35" t="n">
        <v>72.22221987123851</v>
      </c>
      <c r="P64" s="35" t="n">
        <v>69.8924727513206</v>
      </c>
      <c r="Q64" s="35" t="n">
        <v>69.70509164381625</v>
      </c>
      <c r="R64" s="35" t="n">
        <v>66.32653160365311</v>
      </c>
      <c r="S64" s="35" t="n">
        <v>66.83804795042496</v>
      </c>
      <c r="T64" s="35" t="n">
        <v>69.14893796617712</v>
      </c>
      <c r="U64" s="35" t="n">
        <v>70.84468589444944</v>
      </c>
      <c r="V64" s="35" t="n">
        <v>62.05250538808449</v>
      </c>
      <c r="W64" s="35" t="n">
        <v>65.00000063476563</v>
      </c>
      <c r="X64" s="35" t="n">
        <v>65.98984967847348</v>
      </c>
      <c r="Y64" s="35" t="n">
        <v>67.01030826639555</v>
      </c>
      <c r="Z64" s="35" t="n">
        <v>70.27026878652305</v>
      </c>
      <c r="AA64" s="35" t="n">
        <v>68.96551724137932</v>
      </c>
      <c r="AB64" s="35" t="n">
        <v>70.27026878652305</v>
      </c>
      <c r="AC64" s="35" t="n">
        <v>78.78787925418963</v>
      </c>
      <c r="AD64" s="35" t="n">
        <v>78.0780776201314</v>
      </c>
      <c r="AE64" s="35" t="n">
        <v>77.15133754727309</v>
      </c>
      <c r="AF64" s="35" t="n">
        <v>76.24633343742745</v>
      </c>
      <c r="AG64" s="35" t="n">
        <v>76.02339441783379</v>
      </c>
      <c r="AH64" s="35" t="n">
        <v>77.84430864599403</v>
      </c>
      <c r="AI64" s="35" t="n">
        <v>78.0780776201314</v>
      </c>
      <c r="AJ64" s="35" t="n">
        <v>84.4155812037497</v>
      </c>
      <c r="AK64" s="35" t="n">
        <v>81.7610042806357</v>
      </c>
      <c r="AL64" s="35" t="n">
        <v>80.99688177824858</v>
      </c>
      <c r="AM64" s="35" t="n">
        <v>82.53968151612499</v>
      </c>
      <c r="AN64" s="35" t="n">
        <v>83.33333333333333</v>
      </c>
      <c r="AO64" s="35" t="n">
        <v>77.84430864599403</v>
      </c>
      <c r="AP64" s="35" t="n">
        <v>79.51070478863313</v>
      </c>
      <c r="AQ64" s="35" t="n">
        <v>80.74534259444563</v>
      </c>
      <c r="AR64" s="35" t="n">
        <v>83.33333333333333</v>
      </c>
      <c r="AS64" s="35" t="n">
        <v>83.87096615667276</v>
      </c>
      <c r="AT64" s="35" t="n">
        <v>83.87096615667276</v>
      </c>
      <c r="AU64" s="35" t="n">
        <v>80.49535457692734</v>
      </c>
      <c r="AV64" s="35" t="n">
        <v>87.8378389970154</v>
      </c>
      <c r="AW64" s="35" t="n">
        <v>90.5923314122274</v>
      </c>
      <c r="AX64" s="35" t="n">
        <v>91.54929388583928</v>
      </c>
      <c r="AY64" s="35" t="n">
        <v>87.24832500682693</v>
      </c>
      <c r="AZ64" s="35" t="n">
        <v>87.8378389970154</v>
      </c>
      <c r="BA64" s="35" t="n">
        <v>84.9673224307425</v>
      </c>
      <c r="BB64" s="35" t="n">
        <v>81.24999950408936</v>
      </c>
      <c r="BC64" s="35" t="n">
        <v>82.27848406392717</v>
      </c>
      <c r="BD64" s="35" t="n">
        <v>81.50470419045612</v>
      </c>
      <c r="BE64" s="35" t="n">
        <v>80.32128514056225</v>
      </c>
      <c r="BF64" s="35" t="n">
        <v>82.64462809917356</v>
      </c>
      <c r="BG64" s="35" t="n">
        <v>79.36507936507937</v>
      </c>
      <c r="BH64" s="35" t="n">
        <v>80.32128514056225</v>
      </c>
      <c r="BI64" s="78">
        <f>SUM(E64:BH64)</f>
        <v/>
      </c>
      <c r="BJ64" s="79">
        <f>BI64*Weekly_Prices_VND!BH64</f>
        <v/>
      </c>
    </row>
    <row r="65" ht="19" customHeight="1">
      <c r="A65" s="71" t="n">
        <v>64</v>
      </c>
      <c r="B65" s="32" t="inlineStr">
        <is>
          <t>CTD</t>
        </is>
      </c>
      <c r="C65" s="33" t="inlineStr">
        <is>
          <t>Thép, Vật Liệu &amp; Xây Dựng</t>
        </is>
      </c>
      <c r="D65" s="71" t="inlineStr">
        <is>
          <t>HOSE</t>
        </is>
      </c>
      <c r="E65" s="35" t="n">
        <v>14.09846588865164</v>
      </c>
      <c r="F65" s="35" t="n">
        <v>13.37985480975989</v>
      </c>
      <c r="G65" s="35" t="n">
        <v>14.09846588865164</v>
      </c>
      <c r="H65" s="35" t="n">
        <v>13.39611225983937</v>
      </c>
      <c r="I65" s="35" t="n">
        <v>13.51103011999167</v>
      </c>
      <c r="J65" s="35" t="n">
        <v>13.59432742702289</v>
      </c>
      <c r="K65" s="35" t="n">
        <v>12.97058787466886</v>
      </c>
      <c r="L65" s="35" t="n">
        <v>13.14064358971174</v>
      </c>
      <c r="M65" s="35" t="n">
        <v>13.25120210660985</v>
      </c>
      <c r="N65" s="35" t="n">
        <v>13.07829166041276</v>
      </c>
      <c r="O65" s="35" t="n">
        <v>12.5712658184336</v>
      </c>
      <c r="P65" s="35" t="n">
        <v>12.95534626148686</v>
      </c>
      <c r="Q65" s="35" t="n">
        <v>13.6111105794271</v>
      </c>
      <c r="R65" s="35" t="n">
        <v>13.28313277705372</v>
      </c>
      <c r="S65" s="35" t="n">
        <v>13.39611225983937</v>
      </c>
      <c r="T65" s="35" t="n">
        <v>14.31818108091752</v>
      </c>
      <c r="U65" s="35" t="n">
        <v>14.35546808190647</v>
      </c>
      <c r="V65" s="35" t="n">
        <v>14.08046014943768</v>
      </c>
      <c r="W65" s="35" t="n">
        <v>14.56406841789728</v>
      </c>
      <c r="X65" s="35" t="n">
        <v>13.47799575043006</v>
      </c>
      <c r="Y65" s="35" t="n">
        <v>13.33131836011036</v>
      </c>
      <c r="Z65" s="35" t="n">
        <v>13.51103011999167</v>
      </c>
      <c r="AA65" s="35" t="n">
        <v>12.81976808238304</v>
      </c>
      <c r="AB65" s="35" t="n">
        <v>12.95534626148686</v>
      </c>
      <c r="AC65" s="35" t="n">
        <v>12.27728242353555</v>
      </c>
      <c r="AD65" s="35" t="n">
        <v>11.02500030792481</v>
      </c>
      <c r="AE65" s="35" t="n">
        <v>13.01652865248116</v>
      </c>
      <c r="AF65" s="35" t="n">
        <v>12.5284091465217</v>
      </c>
      <c r="AG65" s="35" t="n">
        <v>12.83469088599576</v>
      </c>
      <c r="AH65" s="35" t="n">
        <v>12.89473633840463</v>
      </c>
      <c r="AI65" s="35" t="n">
        <v>13.04733706398832</v>
      </c>
      <c r="AJ65" s="35" t="n">
        <v>13.7812497913971</v>
      </c>
      <c r="AK65" s="35" t="n">
        <v>13.90290040570401</v>
      </c>
      <c r="AL65" s="35" t="n">
        <v>13.98135760730037</v>
      </c>
      <c r="AM65" s="35" t="n">
        <v>13.81578933166335</v>
      </c>
      <c r="AN65" s="35" t="n">
        <v>14.50276203970018</v>
      </c>
      <c r="AO65" s="35" t="n">
        <v>13.70757145205482</v>
      </c>
      <c r="AP65" s="35" t="n">
        <v>14.07506739263225</v>
      </c>
      <c r="AQ65" s="35" t="n">
        <v>13.6718745827675</v>
      </c>
      <c r="AR65" s="35" t="n">
        <v>13.10861480755273</v>
      </c>
      <c r="AS65" s="35" t="n">
        <v>12.97898671631129</v>
      </c>
      <c r="AT65" s="35" t="n">
        <v>12.97898671631129</v>
      </c>
      <c r="AU65" s="35" t="n">
        <v>11.85101569685546</v>
      </c>
      <c r="AV65" s="35" t="n">
        <v>12.99504919082976</v>
      </c>
      <c r="AW65" s="35" t="n">
        <v>13.05970130218486</v>
      </c>
      <c r="AX65" s="35" t="n">
        <v>12.65060270732781</v>
      </c>
      <c r="AY65" s="35" t="n">
        <v>12.25204211869204</v>
      </c>
      <c r="AZ65" s="35" t="n">
        <v>13.12499993591309</v>
      </c>
      <c r="BA65" s="35" t="n">
        <v>12.80487865876899</v>
      </c>
      <c r="BB65" s="35" t="n">
        <v>12.69035532994924</v>
      </c>
      <c r="BC65" s="35" t="n">
        <v>11.46788990825688</v>
      </c>
      <c r="BD65" s="35" t="n">
        <v>11.52073732718894</v>
      </c>
      <c r="BE65" s="35" t="n">
        <v>13.02083333333333</v>
      </c>
      <c r="BF65" s="35" t="n">
        <v>13.05483028720627</v>
      </c>
      <c r="BG65" s="35" t="n">
        <v>13.55013550135501</v>
      </c>
      <c r="BH65" s="35" t="n">
        <v>13.92757660167131</v>
      </c>
      <c r="BI65" s="78">
        <f>SUM(E65:BH65)</f>
        <v/>
      </c>
      <c r="BJ65" s="79">
        <f>BI65*Weekly_Prices_VND!BH65</f>
        <v/>
      </c>
    </row>
    <row r="66" ht="19" customHeight="1">
      <c r="A66" s="71" t="n">
        <v>65</v>
      </c>
      <c r="B66" s="32" t="inlineStr">
        <is>
          <t>HT1</t>
        </is>
      </c>
      <c r="C66" s="33" t="inlineStr">
        <is>
          <t>Thép, Vật Liệu &amp; Xây Dựng</t>
        </is>
      </c>
      <c r="D66" s="71" t="inlineStr">
        <is>
          <t>HOSE</t>
        </is>
      </c>
      <c r="E66" s="35" t="n">
        <v>90.09009009009009</v>
      </c>
      <c r="F66" s="35" t="n">
        <v>87.71929824561404</v>
      </c>
      <c r="G66" s="35" t="n">
        <v>90.90909090909091</v>
      </c>
      <c r="H66" s="35" t="n">
        <v>88.49557522123894</v>
      </c>
      <c r="I66" s="35" t="n">
        <v>87.33624454148472</v>
      </c>
      <c r="J66" s="35" t="n">
        <v>83.68200836820084</v>
      </c>
      <c r="K66" s="35" t="n">
        <v>85.47008547008546</v>
      </c>
      <c r="L66" s="35" t="n">
        <v>82.64462809917356</v>
      </c>
      <c r="M66" s="35" t="n">
        <v>80.97165991902834</v>
      </c>
      <c r="N66" s="35" t="n">
        <v>76.33587786259542</v>
      </c>
      <c r="O66" s="35" t="n">
        <v>76.62835249042146</v>
      </c>
      <c r="P66" s="35" t="n">
        <v>71.42857142857143</v>
      </c>
      <c r="Q66" s="35" t="n">
        <v>70.4225352112676</v>
      </c>
      <c r="R66" s="35" t="n">
        <v>63.69426751592356</v>
      </c>
      <c r="S66" s="35" t="n">
        <v>59.88023952095809</v>
      </c>
      <c r="T66" s="35" t="n">
        <v>60.60606060606061</v>
      </c>
      <c r="U66" s="35" t="n">
        <v>57.47126436781609</v>
      </c>
      <c r="V66" s="35" t="n">
        <v>57.30659025787966</v>
      </c>
      <c r="W66" s="35" t="n">
        <v>54.94505494505494</v>
      </c>
      <c r="X66" s="35" t="n">
        <v>55.55555555555556</v>
      </c>
      <c r="Y66" s="35" t="n">
        <v>56.02240896358543</v>
      </c>
      <c r="Z66" s="35" t="n">
        <v>58.8235294117647</v>
      </c>
      <c r="AA66" s="35" t="n">
        <v>55.8659217877095</v>
      </c>
      <c r="AB66" s="35" t="n">
        <v>56.33802816901409</v>
      </c>
      <c r="AC66" s="35" t="n">
        <v>53.47593582887701</v>
      </c>
      <c r="AD66" s="35" t="n">
        <v>59.70149253731343</v>
      </c>
      <c r="AE66" s="35" t="n">
        <v>62.89308176100629</v>
      </c>
      <c r="AF66" s="35" t="n">
        <v>61.72839506172839</v>
      </c>
      <c r="AG66" s="35" t="n">
        <v>63.09148264984227</v>
      </c>
      <c r="AH66" s="35" t="n">
        <v>63.49206349206349</v>
      </c>
      <c r="AI66" s="35" t="n">
        <v>65.359477124183</v>
      </c>
      <c r="AJ66" s="35" t="n">
        <v>68.96551724137932</v>
      </c>
      <c r="AK66" s="35" t="n">
        <v>64.93506493506493</v>
      </c>
      <c r="AL66" s="35" t="n">
        <v>64.72491909385113</v>
      </c>
      <c r="AM66" s="35" t="n">
        <v>60.60606060606061</v>
      </c>
      <c r="AN66" s="35" t="n">
        <v>60.60606060606061</v>
      </c>
      <c r="AO66" s="35" t="n">
        <v>59.34718100890208</v>
      </c>
      <c r="AP66" s="35" t="n">
        <v>60.790273556231</v>
      </c>
      <c r="AQ66" s="35" t="n">
        <v>67.34006734006734</v>
      </c>
      <c r="AR66" s="35" t="n">
        <v>65.359477124183</v>
      </c>
      <c r="AS66" s="35" t="n">
        <v>64.93506493506493</v>
      </c>
      <c r="AT66" s="35" t="n">
        <v>64.93506493506493</v>
      </c>
      <c r="AU66" s="35" t="n">
        <v>58.65102639296187</v>
      </c>
      <c r="AV66" s="35" t="n">
        <v>58.47953216374269</v>
      </c>
      <c r="AW66" s="35" t="n">
        <v>59.17159763313609</v>
      </c>
      <c r="AX66" s="35" t="n">
        <v>64.30868167202573</v>
      </c>
      <c r="AY66" s="35" t="n">
        <v>66.44518272425249</v>
      </c>
      <c r="AZ66" s="35" t="n">
        <v>66.88963210702342</v>
      </c>
      <c r="BA66" s="35" t="n">
        <v>65.14657980456026</v>
      </c>
      <c r="BB66" s="35" t="n">
        <v>66.2251655629139</v>
      </c>
      <c r="BC66" s="35" t="n">
        <v>66.44518272425249</v>
      </c>
      <c r="BD66" s="35" t="n">
        <v>67.56756756756756</v>
      </c>
      <c r="BE66" s="35" t="n">
        <v>69.44444444444444</v>
      </c>
      <c r="BF66" s="35" t="n">
        <v>72.46376811594203</v>
      </c>
      <c r="BG66" s="35" t="n">
        <v>72.46376811594203</v>
      </c>
      <c r="BH66" s="35" t="n">
        <v>73.52941176470588</v>
      </c>
      <c r="BI66" s="78">
        <f>SUM(E66:BH66)</f>
        <v/>
      </c>
      <c r="BJ66" s="79">
        <f>BI66*Weekly_Prices_VND!BH66</f>
        <v/>
      </c>
    </row>
    <row r="67" ht="19" customHeight="1">
      <c r="A67" s="71" t="n">
        <v>66</v>
      </c>
      <c r="B67" s="32" t="inlineStr">
        <is>
          <t>NKG</t>
        </is>
      </c>
      <c r="C67" s="33" t="inlineStr">
        <is>
          <t>Thép, Vật Liệu &amp; Xây Dựng</t>
        </is>
      </c>
      <c r="D67" s="71" t="inlineStr">
        <is>
          <t>HOSE</t>
        </is>
      </c>
      <c r="E67" s="35" t="n">
        <v>88.35341504068485</v>
      </c>
      <c r="F67" s="35" t="n">
        <v>85.6031115393496</v>
      </c>
      <c r="G67" s="35" t="n">
        <v>86.61417655843137</v>
      </c>
      <c r="H67" s="35" t="n">
        <v>83.65018700799864</v>
      </c>
      <c r="I67" s="35" t="n">
        <v>82.08955104230482</v>
      </c>
      <c r="J67" s="35" t="n">
        <v>82.70676631001258</v>
      </c>
      <c r="K67" s="35" t="n">
        <v>83.65018700799864</v>
      </c>
      <c r="L67" s="35" t="n">
        <v>82.70676631001258</v>
      </c>
      <c r="M67" s="35" t="n">
        <v>80.58608116261792</v>
      </c>
      <c r="N67" s="35" t="n">
        <v>78.57143021564097</v>
      </c>
      <c r="O67" s="35" t="n">
        <v>76.92307692307692</v>
      </c>
      <c r="P67" s="35" t="n">
        <v>74.57627168019248</v>
      </c>
      <c r="Q67" s="35" t="n">
        <v>68.11145428464282</v>
      </c>
      <c r="R67" s="35" t="n">
        <v>65.28189986649086</v>
      </c>
      <c r="S67" s="35" t="n">
        <v>66.0660676160395</v>
      </c>
      <c r="T67" s="35" t="n">
        <v>68.75000209808356</v>
      </c>
      <c r="U67" s="35" t="n">
        <v>69.62025144332844</v>
      </c>
      <c r="V67" s="35" t="n">
        <v>60.77348263035704</v>
      </c>
      <c r="W67" s="35" t="n">
        <v>57.44125033446627</v>
      </c>
      <c r="X67" s="35" t="n">
        <v>55.27638462215298</v>
      </c>
      <c r="Y67" s="35" t="n">
        <v>59.62059873054703</v>
      </c>
      <c r="Z67" s="35" t="n">
        <v>64.32748721695356</v>
      </c>
      <c r="AA67" s="35" t="n">
        <v>61.97183234973222</v>
      </c>
      <c r="AB67" s="35" t="n">
        <v>63.03724787255445</v>
      </c>
      <c r="AC67" s="35" t="n">
        <v>69.18238781254951</v>
      </c>
      <c r="AD67" s="35" t="n">
        <v>68.96551724137932</v>
      </c>
      <c r="AE67" s="35" t="n">
        <v>65.86826270270089</v>
      </c>
      <c r="AF67" s="35" t="n">
        <v>64.51612903225806</v>
      </c>
      <c r="AG67" s="35" t="n">
        <v>66.66666666666667</v>
      </c>
      <c r="AH67" s="35" t="n">
        <v>67.9012357958605</v>
      </c>
      <c r="AI67" s="35" t="n">
        <v>68.3229830241407</v>
      </c>
      <c r="AJ67" s="35" t="n">
        <v>75.3424642415762</v>
      </c>
      <c r="AK67" s="35" t="n">
        <v>73.3333352430556</v>
      </c>
      <c r="AL67" s="35" t="n">
        <v>71.89542529549266</v>
      </c>
      <c r="AM67" s="35" t="n">
        <v>74.07407407407408</v>
      </c>
      <c r="AN67" s="35" t="n">
        <v>74.32432187221805</v>
      </c>
      <c r="AO67" s="35" t="n">
        <v>68.11145428464282</v>
      </c>
      <c r="AP67" s="35" t="n">
        <v>71.66123550548289</v>
      </c>
      <c r="AQ67" s="35" t="n">
        <v>72.36842198253009</v>
      </c>
      <c r="AR67" s="35" t="n">
        <v>75.0853252331128</v>
      </c>
      <c r="AS67" s="35" t="n">
        <v>73.57859483709635</v>
      </c>
      <c r="AT67" s="35" t="n">
        <v>73.57859483709635</v>
      </c>
      <c r="AU67" s="35" t="n">
        <v>69.62025144332844</v>
      </c>
      <c r="AV67" s="35" t="n">
        <v>75.86206794366827</v>
      </c>
      <c r="AW67" s="35" t="n">
        <v>79.13669287142235</v>
      </c>
      <c r="AX67" s="35" t="n">
        <v>80</v>
      </c>
      <c r="AY67" s="35" t="n">
        <v>79.71014774789641</v>
      </c>
      <c r="AZ67" s="35" t="n">
        <v>80.8823506180391</v>
      </c>
      <c r="BA67" s="35" t="n">
        <v>77.19297981109581</v>
      </c>
      <c r="BB67" s="35" t="n">
        <v>74.82992998432371</v>
      </c>
      <c r="BC67" s="35" t="n">
        <v>76.12456953191419</v>
      </c>
      <c r="BD67" s="35" t="n">
        <v>76.6550548731168</v>
      </c>
      <c r="BE67" s="35" t="n">
        <v>77.7385137550101</v>
      </c>
      <c r="BF67" s="35" t="n">
        <v>79.71014774789641</v>
      </c>
      <c r="BG67" s="35" t="n">
        <v>79.13669287142235</v>
      </c>
      <c r="BH67" s="35" t="n">
        <v>80.58608116261792</v>
      </c>
      <c r="BI67" s="78">
        <f>SUM(E67:BH67)</f>
        <v/>
      </c>
      <c r="BJ67" s="79">
        <f>BI67*Weekly_Prices_VND!BH67</f>
        <v/>
      </c>
    </row>
    <row r="68" ht="19" customHeight="1">
      <c r="A68" s="71" t="n">
        <v>67</v>
      </c>
      <c r="B68" s="32" t="inlineStr">
        <is>
          <t>LCG</t>
        </is>
      </c>
      <c r="C68" s="33" t="inlineStr">
        <is>
          <t>Thép, Vật Liệu &amp; Xây Dựng</t>
        </is>
      </c>
      <c r="D68" s="71" t="inlineStr">
        <is>
          <t>HOSE</t>
        </is>
      </c>
      <c r="E68" s="35" t="n">
        <v>115.1776080332782</v>
      </c>
      <c r="F68" s="35" t="n">
        <v>112.3949576373087</v>
      </c>
      <c r="G68" s="35" t="n">
        <v>113.9510086333468</v>
      </c>
      <c r="H68" s="35" t="n">
        <v>111.6910172717506</v>
      </c>
      <c r="I68" s="35" t="n">
        <v>109.295204961063</v>
      </c>
      <c r="J68" s="35" t="n">
        <v>112.5131425568985</v>
      </c>
      <c r="K68" s="35" t="n">
        <v>114.4385075743428</v>
      </c>
      <c r="L68" s="35" t="n">
        <v>113.227517205828</v>
      </c>
      <c r="M68" s="35" t="n">
        <v>112.9883781963767</v>
      </c>
      <c r="N68" s="35" t="n">
        <v>105.9405983616038</v>
      </c>
      <c r="O68" s="35" t="n">
        <v>103.3816396832847</v>
      </c>
      <c r="P68" s="35" t="n">
        <v>102.3923410528893</v>
      </c>
      <c r="Q68" s="35" t="n">
        <v>103.3816396832847</v>
      </c>
      <c r="R68" s="35" t="n">
        <v>95.11111234953705</v>
      </c>
      <c r="S68" s="35" t="n">
        <v>90.67796835303483</v>
      </c>
      <c r="T68" s="35" t="n">
        <v>81.67939211388659</v>
      </c>
      <c r="U68" s="35" t="n">
        <v>84.92063320937464</v>
      </c>
      <c r="V68" s="35" t="n">
        <v>81.06060839944641</v>
      </c>
      <c r="W68" s="35" t="n">
        <v>88.79667754743923</v>
      </c>
      <c r="X68" s="35" t="n">
        <v>86.9918695733618</v>
      </c>
      <c r="Y68" s="35" t="n">
        <v>80.75471590979888</v>
      </c>
      <c r="Z68" s="35" t="n">
        <v>89.16666782769099</v>
      </c>
      <c r="AA68" s="35" t="n">
        <v>86.63967919628161</v>
      </c>
      <c r="AB68" s="35" t="n">
        <v>86.9918695733618</v>
      </c>
      <c r="AC68" s="35" t="n">
        <v>92.64069217072159</v>
      </c>
      <c r="AD68" s="35" t="n">
        <v>94.78672985781991</v>
      </c>
      <c r="AE68" s="35" t="n">
        <v>99.50248756218906</v>
      </c>
      <c r="AF68" s="35" t="n">
        <v>96.15384615384616</v>
      </c>
      <c r="AG68" s="35" t="n">
        <v>98.52216748768473</v>
      </c>
      <c r="AH68" s="35" t="n">
        <v>98.52216748768473</v>
      </c>
      <c r="AI68" s="35" t="n">
        <v>96.15384615384616</v>
      </c>
      <c r="AJ68" s="35" t="n">
        <v>98.03921568627452</v>
      </c>
      <c r="AK68" s="35" t="n">
        <v>93.45794392523365</v>
      </c>
      <c r="AL68" s="35" t="n">
        <v>97.5609756097561</v>
      </c>
      <c r="AM68" s="35" t="n">
        <v>98.03921568627452</v>
      </c>
      <c r="AN68" s="35" t="n">
        <v>99.50248756218906</v>
      </c>
      <c r="AO68" s="35" t="n">
        <v>96.15384615384616</v>
      </c>
      <c r="AP68" s="35" t="n">
        <v>96.15384615384616</v>
      </c>
      <c r="AQ68" s="35" t="n">
        <v>98.03921568627452</v>
      </c>
      <c r="AR68" s="35" t="n">
        <v>99.50248756218906</v>
      </c>
      <c r="AS68" s="35" t="n">
        <v>98.52216748768473</v>
      </c>
      <c r="AT68" s="35" t="n">
        <v>98.52216748768473</v>
      </c>
      <c r="AU68" s="35" t="n">
        <v>96.61835748792271</v>
      </c>
      <c r="AV68" s="35" t="n">
        <v>101.2145748987854</v>
      </c>
      <c r="AW68" s="35" t="n">
        <v>99.00990099009901</v>
      </c>
      <c r="AX68" s="35" t="n">
        <v>102.7749229188078</v>
      </c>
      <c r="AY68" s="35" t="n">
        <v>102.0408163265306</v>
      </c>
      <c r="AZ68" s="35" t="n">
        <v>104.7120418848168</v>
      </c>
      <c r="BA68" s="35" t="n">
        <v>98.52216748768473</v>
      </c>
      <c r="BB68" s="35" t="n">
        <v>100</v>
      </c>
      <c r="BC68" s="35" t="n">
        <v>99.50248756218906</v>
      </c>
      <c r="BD68" s="35" t="n">
        <v>100.5025125628141</v>
      </c>
      <c r="BE68" s="35" t="n">
        <v>103.950103950104</v>
      </c>
      <c r="BF68" s="35" t="n">
        <v>106.3829787234042</v>
      </c>
      <c r="BG68" s="35" t="n">
        <v>108.5776330076004</v>
      </c>
      <c r="BH68" s="35" t="n">
        <v>109.5290251916758</v>
      </c>
      <c r="BI68" s="78">
        <f>SUM(E68:BH68)</f>
        <v/>
      </c>
      <c r="BJ68" s="79">
        <f>BI68*Weekly_Prices_VND!BH68</f>
        <v/>
      </c>
    </row>
    <row r="69" ht="19" customHeight="1">
      <c r="A69" s="71" t="n">
        <v>68</v>
      </c>
      <c r="B69" s="32" t="inlineStr">
        <is>
          <t>SMC</t>
        </is>
      </c>
      <c r="C69" s="33" t="inlineStr">
        <is>
          <t>Thép, Vật Liệu &amp; Xây Dựng</t>
        </is>
      </c>
      <c r="D69" s="71" t="inlineStr">
        <is>
          <t>HOSE</t>
        </is>
      </c>
      <c r="E69" s="35" t="n">
        <v>110.6194690265487</v>
      </c>
      <c r="F69" s="35" t="n">
        <v>95.23809523809524</v>
      </c>
      <c r="G69" s="35" t="n">
        <v>90.09009009009009</v>
      </c>
      <c r="H69" s="35" t="n">
        <v>88.49557522123894</v>
      </c>
      <c r="I69" s="35" t="n">
        <v>91.74311926605505</v>
      </c>
      <c r="J69" s="35" t="n">
        <v>88.10572687224669</v>
      </c>
      <c r="K69" s="35" t="n">
        <v>92.16589861751152</v>
      </c>
      <c r="L69" s="35" t="n">
        <v>96.15384615384616</v>
      </c>
      <c r="M69" s="35" t="n">
        <v>93.45794392523365</v>
      </c>
      <c r="N69" s="35" t="n">
        <v>92.16589861751152</v>
      </c>
      <c r="O69" s="35" t="n">
        <v>76.04562737642586</v>
      </c>
      <c r="P69" s="35" t="n">
        <v>77.82101167315174</v>
      </c>
      <c r="Q69" s="35" t="n">
        <v>75.75757575757575</v>
      </c>
      <c r="R69" s="35" t="n">
        <v>74.6268656716418</v>
      </c>
      <c r="S69" s="35" t="n">
        <v>78.74015748031496</v>
      </c>
      <c r="T69" s="35" t="n">
        <v>82.64462809917356</v>
      </c>
      <c r="U69" s="35" t="n">
        <v>80</v>
      </c>
      <c r="V69" s="35" t="n">
        <v>77.22007722007721</v>
      </c>
      <c r="W69" s="35" t="n">
        <v>78.74015748031496</v>
      </c>
      <c r="X69" s="35" t="n">
        <v>66.00660066006601</v>
      </c>
      <c r="Y69" s="35" t="n">
        <v>59.52380952380953</v>
      </c>
      <c r="Z69" s="35" t="n">
        <v>72.46376811594203</v>
      </c>
      <c r="AA69" s="35" t="n">
        <v>77.82101167315174</v>
      </c>
      <c r="AB69" s="35" t="n">
        <v>84.03361344537815</v>
      </c>
      <c r="AC69" s="35" t="n">
        <v>94.33962264150944</v>
      </c>
      <c r="AD69" s="35" t="n">
        <v>83.33333333333333</v>
      </c>
      <c r="AE69" s="35" t="n">
        <v>76.92307692307692</v>
      </c>
      <c r="AF69" s="35" t="n">
        <v>75.47169811320755</v>
      </c>
      <c r="AG69" s="35" t="n">
        <v>73.26007326007326</v>
      </c>
      <c r="AH69" s="35" t="n">
        <v>79.68127490039841</v>
      </c>
      <c r="AI69" s="35" t="n">
        <v>71.68458781362007</v>
      </c>
      <c r="AJ69" s="35" t="n">
        <v>77.22007722007721</v>
      </c>
      <c r="AK69" s="35" t="n">
        <v>72.72727272727273</v>
      </c>
      <c r="AL69" s="35" t="n">
        <v>74.34944237918215</v>
      </c>
      <c r="AM69" s="35" t="n">
        <v>76.04562737642586</v>
      </c>
      <c r="AN69" s="35" t="n">
        <v>74.6268656716418</v>
      </c>
      <c r="AO69" s="35" t="n">
        <v>72.46376811594203</v>
      </c>
      <c r="AP69" s="35" t="n">
        <v>73.26007326007326</v>
      </c>
      <c r="AQ69" s="35" t="n">
        <v>69.20415224913495</v>
      </c>
      <c r="AR69" s="35" t="n">
        <v>78.125</v>
      </c>
      <c r="AS69" s="35" t="n">
        <v>80.97165991902834</v>
      </c>
      <c r="AT69" s="35" t="n">
        <v>80.97165991902834</v>
      </c>
      <c r="AU69" s="35" t="n">
        <v>82.3045267489712</v>
      </c>
      <c r="AV69" s="35" t="n">
        <v>88.88888888888889</v>
      </c>
      <c r="AW69" s="35" t="n">
        <v>91.74311926605505</v>
      </c>
      <c r="AX69" s="35" t="n">
        <v>91.32420091324201</v>
      </c>
      <c r="AY69" s="35" t="n">
        <v>89.28571428571429</v>
      </c>
      <c r="AZ69" s="35" t="n">
        <v>79.36507936507937</v>
      </c>
      <c r="BA69" s="35" t="n">
        <v>74.90636704119851</v>
      </c>
      <c r="BB69" s="35" t="n">
        <v>75.47169811320755</v>
      </c>
      <c r="BC69" s="35" t="n">
        <v>76.92307692307692</v>
      </c>
      <c r="BD69" s="35" t="n">
        <v>78.74015748031496</v>
      </c>
      <c r="BE69" s="35" t="n">
        <v>82.3045267489712</v>
      </c>
      <c r="BF69" s="35" t="n">
        <v>85.47008547008546</v>
      </c>
      <c r="BG69" s="35" t="n">
        <v>86.20689655172414</v>
      </c>
      <c r="BH69" s="35" t="n">
        <v>89.68609865470852</v>
      </c>
      <c r="BI69" s="78">
        <f>SUM(E69:BH69)</f>
        <v/>
      </c>
      <c r="BJ69" s="79">
        <f>BI69*Weekly_Prices_VND!BH69</f>
        <v/>
      </c>
    </row>
    <row r="70" ht="19" customHeight="1">
      <c r="A70" s="71" t="n">
        <v>69</v>
      </c>
      <c r="B70" s="32" t="inlineStr">
        <is>
          <t>HHV</t>
        </is>
      </c>
      <c r="C70" s="33" t="inlineStr">
        <is>
          <t>Thép, Vật Liệu &amp; Xây Dựng</t>
        </is>
      </c>
      <c r="D70" s="71" t="inlineStr">
        <is>
          <t>HOSE</t>
        </is>
      </c>
      <c r="E70" s="35" t="n">
        <v>92.93103391946437</v>
      </c>
      <c r="F70" s="35" t="n">
        <v>91.05742299845514</v>
      </c>
      <c r="G70" s="35" t="n">
        <v>92.17241101514318</v>
      </c>
      <c r="H70" s="35" t="n">
        <v>91.79772944053587</v>
      </c>
      <c r="I70" s="35" t="n">
        <v>88.90646180673038</v>
      </c>
      <c r="J70" s="35" t="n">
        <v>91.79772944053587</v>
      </c>
      <c r="K70" s="35" t="n">
        <v>92.55017208999529</v>
      </c>
      <c r="L70" s="35" t="n">
        <v>91.05742299845514</v>
      </c>
      <c r="M70" s="35" t="n">
        <v>91.05742299845514</v>
      </c>
      <c r="N70" s="35" t="n">
        <v>88.2118780394979</v>
      </c>
      <c r="O70" s="35" t="n">
        <v>78.77984180792352</v>
      </c>
      <c r="P70" s="35" t="n">
        <v>83.03821249867821</v>
      </c>
      <c r="Q70" s="35" t="n">
        <v>84.01131724330645</v>
      </c>
      <c r="R70" s="35" t="n">
        <v>77.64222402511241</v>
      </c>
      <c r="S70" s="35" t="n">
        <v>72.65843299033445</v>
      </c>
      <c r="T70" s="35" t="n">
        <v>71.68965659674357</v>
      </c>
      <c r="U70" s="35" t="n">
        <v>72.41379505425094</v>
      </c>
      <c r="V70" s="35" t="n">
        <v>68.93236025613218</v>
      </c>
      <c r="W70" s="35" t="n">
        <v>73.90685873692745</v>
      </c>
      <c r="X70" s="35" t="n">
        <v>70.97985752457193</v>
      </c>
      <c r="Y70" s="35" t="n">
        <v>65.37050489203109</v>
      </c>
      <c r="Z70" s="35" t="n">
        <v>69.60160692709992</v>
      </c>
      <c r="AA70" s="35" t="n">
        <v>68.93236025613218</v>
      </c>
      <c r="AB70" s="35" t="n">
        <v>67.84509983134795</v>
      </c>
      <c r="AC70" s="35" t="n">
        <v>73.40237648795721</v>
      </c>
      <c r="AD70" s="35" t="n">
        <v>71.9294181345583</v>
      </c>
      <c r="AE70" s="35" t="n">
        <v>77.36293916311432</v>
      </c>
      <c r="AF70" s="35" t="n">
        <v>79.06946971025441</v>
      </c>
      <c r="AG70" s="35" t="n">
        <v>76.26558985214828</v>
      </c>
      <c r="AH70" s="35" t="n">
        <v>75.4627936370421</v>
      </c>
      <c r="AI70" s="35" t="n">
        <v>74.41832882741495</v>
      </c>
      <c r="AJ70" s="35" t="n">
        <v>78.4923219331923</v>
      </c>
      <c r="AK70" s="35" t="n">
        <v>77.64222402511241</v>
      </c>
      <c r="AL70" s="35" t="n">
        <v>80.4597710180919</v>
      </c>
      <c r="AM70" s="35" t="n">
        <v>79.84790844875866</v>
      </c>
      <c r="AN70" s="35" t="n">
        <v>84.67742202234822</v>
      </c>
      <c r="AO70" s="35" t="n">
        <v>82.03124749660499</v>
      </c>
      <c r="AP70" s="35" t="n">
        <v>82.67716408284382</v>
      </c>
      <c r="AQ70" s="35" t="n">
        <v>86.06557204818832</v>
      </c>
      <c r="AR70" s="35" t="n">
        <v>87.13692981367078</v>
      </c>
      <c r="AS70" s="35" t="n">
        <v>86.41975204451495</v>
      </c>
      <c r="AT70" s="35" t="n">
        <v>86.41975204451495</v>
      </c>
      <c r="AU70" s="35" t="n">
        <v>84.00000131250002</v>
      </c>
      <c r="AV70" s="35" t="n">
        <v>88.98304716535988</v>
      </c>
      <c r="AW70" s="35" t="n">
        <v>84.00000131250002</v>
      </c>
      <c r="AX70" s="35" t="n">
        <v>87.50000106811525</v>
      </c>
      <c r="AY70" s="35" t="n">
        <v>86.06557204818832</v>
      </c>
      <c r="AZ70" s="35" t="n">
        <v>88.6075982226908</v>
      </c>
      <c r="BA70" s="35" t="n">
        <v>82.35293928416959</v>
      </c>
      <c r="BB70" s="35" t="n">
        <v>82.67716408284382</v>
      </c>
      <c r="BC70" s="35" t="n">
        <v>82.67716408284382</v>
      </c>
      <c r="BD70" s="35" t="n">
        <v>84.00000131250002</v>
      </c>
      <c r="BE70" s="35" t="n">
        <v>85.02024627642041</v>
      </c>
      <c r="BF70" s="35" t="n">
        <v>87.13692981367078</v>
      </c>
      <c r="BG70" s="35" t="n">
        <v>87.86611058173115</v>
      </c>
      <c r="BH70" s="35" t="n">
        <v>90.12875385379637</v>
      </c>
      <c r="BI70" s="78">
        <f>SUM(E70:BH70)</f>
        <v/>
      </c>
      <c r="BJ70" s="79">
        <f>BI70*Weekly_Prices_VND!BH70</f>
        <v/>
      </c>
    </row>
    <row r="71" ht="19" customHeight="1">
      <c r="A71" s="71" t="n">
        <v>70</v>
      </c>
      <c r="B71" s="32" t="inlineStr">
        <is>
          <t>VCG</t>
        </is>
      </c>
      <c r="C71" s="33" t="inlineStr">
        <is>
          <t>Thép, Vật Liệu &amp; Xây Dựng</t>
        </is>
      </c>
      <c r="D71" s="71" t="inlineStr">
        <is>
          <t>HOSE</t>
        </is>
      </c>
      <c r="E71" s="35" t="n">
        <v>54.00000274218764</v>
      </c>
      <c r="F71" s="35" t="n">
        <v>52.89796107288637</v>
      </c>
      <c r="G71" s="35" t="n">
        <v>50.82352978546713</v>
      </c>
      <c r="H71" s="35" t="n">
        <v>52.42247105603839</v>
      </c>
      <c r="I71" s="35" t="n">
        <v>52.42247105603839</v>
      </c>
      <c r="J71" s="35" t="n">
        <v>53.86533770778791</v>
      </c>
      <c r="K71" s="35" t="n">
        <v>52.04819296704892</v>
      </c>
      <c r="L71" s="35" t="n">
        <v>49.6551729488704</v>
      </c>
      <c r="M71" s="35" t="n">
        <v>46.95652046313803</v>
      </c>
      <c r="N71" s="35" t="n">
        <v>46.75324722761006</v>
      </c>
      <c r="O71" s="35" t="n">
        <v>46.25267511199561</v>
      </c>
      <c r="P71" s="35" t="n">
        <v>44.90644680283201</v>
      </c>
      <c r="Q71" s="35" t="n">
        <v>41.69884006369172</v>
      </c>
      <c r="R71" s="35" t="n">
        <v>40.90908945635336</v>
      </c>
      <c r="S71" s="35" t="n">
        <v>40.29850805005988</v>
      </c>
      <c r="T71" s="35" t="n">
        <v>41.86046549655219</v>
      </c>
      <c r="U71" s="35" t="n">
        <v>42.27005728666025</v>
      </c>
      <c r="V71" s="35" t="n">
        <v>40.90908945635336</v>
      </c>
      <c r="W71" s="35" t="n">
        <v>41.94174897257051</v>
      </c>
      <c r="X71" s="35" t="n">
        <v>39.56044023970536</v>
      </c>
      <c r="Y71" s="35" t="n">
        <v>38.64043041816945</v>
      </c>
      <c r="Z71" s="35" t="n">
        <v>39.41605727029946</v>
      </c>
      <c r="AA71" s="35" t="n">
        <v>38.91891760409062</v>
      </c>
      <c r="AB71" s="35" t="n">
        <v>38.98916923523049</v>
      </c>
      <c r="AC71" s="35" t="n">
        <v>42.10526315789474</v>
      </c>
      <c r="AD71" s="35" t="n">
        <v>40.98671678146683</v>
      </c>
      <c r="AE71" s="35" t="n">
        <v>46.05543725364951</v>
      </c>
      <c r="AF71" s="35" t="n">
        <v>44.81327873465506</v>
      </c>
      <c r="AG71" s="35" t="n">
        <v>44.53608362206401</v>
      </c>
      <c r="AH71" s="35" t="n">
        <v>45.47368525761775</v>
      </c>
      <c r="AI71" s="35" t="n">
        <v>43.90243986094588</v>
      </c>
      <c r="AJ71" s="35" t="n">
        <v>46.75324722761006</v>
      </c>
      <c r="AK71" s="35" t="n">
        <v>45.28301753292991</v>
      </c>
      <c r="AL71" s="35" t="n">
        <v>47.16157333956259</v>
      </c>
      <c r="AM71" s="35" t="n">
        <v>47.78761094985904</v>
      </c>
      <c r="AN71" s="35" t="n">
        <v>50.3496497995012</v>
      </c>
      <c r="AO71" s="35" t="n">
        <v>46.35193101963566</v>
      </c>
      <c r="AP71" s="35" t="n">
        <v>47.36842056570291</v>
      </c>
      <c r="AQ71" s="35" t="n">
        <v>56.3968638497094</v>
      </c>
      <c r="AR71" s="35" t="n">
        <v>59.34066035955804</v>
      </c>
      <c r="AS71" s="35" t="n">
        <v>57.14285714285715</v>
      </c>
      <c r="AT71" s="35" t="n">
        <v>57.14285714285715</v>
      </c>
      <c r="AU71" s="35" t="n">
        <v>56.3968638497094</v>
      </c>
      <c r="AV71" s="35" t="n">
        <v>53.86533770778791</v>
      </c>
      <c r="AW71" s="35" t="n">
        <v>45.95744573902221</v>
      </c>
      <c r="AX71" s="35" t="n">
        <v>48.43049259486418</v>
      </c>
      <c r="AY71" s="35" t="n">
        <v>49.31506954869584</v>
      </c>
      <c r="AZ71" s="35" t="n">
        <v>50.4672906408311</v>
      </c>
      <c r="BA71" s="35" t="n">
        <v>47.2647684631002</v>
      </c>
      <c r="BB71" s="35" t="n">
        <v>48.53932652442874</v>
      </c>
      <c r="BC71" s="35" t="n">
        <v>47.16157333956259</v>
      </c>
      <c r="BD71" s="35" t="n">
        <v>48.75846380745892</v>
      </c>
      <c r="BE71" s="35" t="n">
        <v>48.97959339858397</v>
      </c>
      <c r="BF71" s="35" t="n">
        <v>50</v>
      </c>
      <c r="BG71" s="35" t="n">
        <v>51.42856913265317</v>
      </c>
      <c r="BH71" s="35" t="n">
        <v>53.86533770778791</v>
      </c>
      <c r="BI71" s="78">
        <f>SUM(E71:BH71)</f>
        <v/>
      </c>
      <c r="BJ71" s="79">
        <f>BI71*Weekly_Prices_VND!BH71</f>
        <v/>
      </c>
    </row>
    <row r="72" ht="19" customHeight="1">
      <c r="A72" s="71" t="n">
        <v>71</v>
      </c>
      <c r="B72" s="32" t="inlineStr">
        <is>
          <t>PC1</t>
        </is>
      </c>
      <c r="C72" s="33" t="inlineStr">
        <is>
          <t>Thép, Vật Liệu &amp; Xây Dựng</t>
        </is>
      </c>
      <c r="D72" s="71" t="inlineStr">
        <is>
          <t>HOSE</t>
        </is>
      </c>
      <c r="E72" s="35" t="n">
        <v>51.22494654896935</v>
      </c>
      <c r="F72" s="35" t="n">
        <v>51.68539303157745</v>
      </c>
      <c r="G72" s="35" t="n">
        <v>52.15419755215496</v>
      </c>
      <c r="H72" s="35" t="n">
        <v>50.88495597209</v>
      </c>
      <c r="I72" s="35" t="n">
        <v>49.25053574386489</v>
      </c>
      <c r="J72" s="35" t="n">
        <v>50.88495597209</v>
      </c>
      <c r="K72" s="35" t="n">
        <v>51.91873703616008</v>
      </c>
      <c r="L72" s="35" t="n">
        <v>52.63157894736842</v>
      </c>
      <c r="M72" s="35" t="n">
        <v>52.87356464278641</v>
      </c>
      <c r="N72" s="35" t="n">
        <v>50.99778358851482</v>
      </c>
      <c r="O72" s="35" t="n">
        <v>50.10893310154037</v>
      </c>
      <c r="P72" s="35" t="n">
        <v>46.18473913695696</v>
      </c>
      <c r="Q72" s="35" t="n">
        <v>44.40154607570984</v>
      </c>
      <c r="R72" s="35" t="n">
        <v>43.97705462817701</v>
      </c>
      <c r="S72" s="35" t="n">
        <v>41.74228719525175</v>
      </c>
      <c r="T72" s="35" t="n">
        <v>38.3973285058692</v>
      </c>
      <c r="U72" s="35" t="n">
        <v>42.67161301780898</v>
      </c>
      <c r="V72" s="35" t="n">
        <v>41.5162446091724</v>
      </c>
      <c r="W72" s="35" t="n">
        <v>43.72623720270963</v>
      </c>
      <c r="X72" s="35" t="n">
        <v>43.72623720270963</v>
      </c>
      <c r="Y72" s="35" t="n">
        <v>43.23308127827724</v>
      </c>
      <c r="Z72" s="35" t="n">
        <v>46.37096902011712</v>
      </c>
      <c r="AA72" s="35" t="n">
        <v>46.93877588439713</v>
      </c>
      <c r="AB72" s="35" t="n">
        <v>49.25053574386489</v>
      </c>
      <c r="AC72" s="35" t="n">
        <v>52.15419755215496</v>
      </c>
      <c r="AD72" s="35" t="n">
        <v>48.72881557570906</v>
      </c>
      <c r="AE72" s="35" t="n">
        <v>47.42267926652676</v>
      </c>
      <c r="AF72" s="35" t="n">
        <v>45.35147392290249</v>
      </c>
      <c r="AG72" s="35" t="n">
        <v>45.24886877828055</v>
      </c>
      <c r="AH72" s="35" t="n">
        <v>46.08294930875576</v>
      </c>
      <c r="AI72" s="35" t="n">
        <v>43.29004329004329</v>
      </c>
      <c r="AJ72" s="35" t="n">
        <v>48.54368932038835</v>
      </c>
      <c r="AK72" s="35" t="n">
        <v>46.40371229698376</v>
      </c>
      <c r="AL72" s="35" t="n">
        <v>45.97701149425287</v>
      </c>
      <c r="AM72" s="35" t="n">
        <v>44.34589800443459</v>
      </c>
      <c r="AN72" s="35" t="n">
        <v>42.10526315789474</v>
      </c>
      <c r="AO72" s="35" t="n">
        <v>40.65040650406504</v>
      </c>
      <c r="AP72" s="35" t="n">
        <v>42.82655246252676</v>
      </c>
      <c r="AQ72" s="35" t="n">
        <v>41.32231404958678</v>
      </c>
      <c r="AR72" s="35" t="n">
        <v>40.48582995951417</v>
      </c>
      <c r="AS72" s="35" t="n">
        <v>38.09523809523809</v>
      </c>
      <c r="AT72" s="35" t="n">
        <v>38.09523809523809</v>
      </c>
      <c r="AU72" s="35" t="n">
        <v>33.16749585406302</v>
      </c>
      <c r="AV72" s="35" t="n">
        <v>35.52397868561279</v>
      </c>
      <c r="AW72" s="35" t="n">
        <v>37.3134328358209</v>
      </c>
      <c r="AX72" s="35" t="n">
        <v>37.5234521575985</v>
      </c>
      <c r="AY72" s="35" t="n">
        <v>34.36426116838488</v>
      </c>
      <c r="AZ72" s="35" t="n">
        <v>37.45318352059925</v>
      </c>
      <c r="BA72" s="35" t="n">
        <v>36.56307129798903</v>
      </c>
      <c r="BB72" s="35" t="n">
        <v>37.5234521575985</v>
      </c>
      <c r="BC72" s="35" t="n">
        <v>44.54342984409799</v>
      </c>
      <c r="BD72" s="35" t="n">
        <v>51.15089514066496</v>
      </c>
      <c r="BE72" s="35" t="n">
        <v>55.24861878453039</v>
      </c>
      <c r="BF72" s="35" t="n">
        <v>56.02240896358543</v>
      </c>
      <c r="BG72" s="35" t="n">
        <v>48.54368932038835</v>
      </c>
      <c r="BH72" s="35" t="n">
        <v>51.6795865633075</v>
      </c>
      <c r="BI72" s="78">
        <f>SUM(E72:BH72)</f>
        <v/>
      </c>
      <c r="BJ72" s="79">
        <f>BI72*Weekly_Prices_VND!BH72</f>
        <v/>
      </c>
    </row>
    <row r="73" ht="19" customHeight="1">
      <c r="A73" s="71" t="n">
        <v>72</v>
      </c>
      <c r="B73" s="32" t="inlineStr">
        <is>
          <t>FCN</t>
        </is>
      </c>
      <c r="C73" s="33" t="inlineStr">
        <is>
          <t>Thép, Vật Liệu &amp; Xây Dựng</t>
        </is>
      </c>
      <c r="D73" s="71" t="inlineStr">
        <is>
          <t>HOSE</t>
        </is>
      </c>
      <c r="E73" s="35" t="n">
        <v>68.96551724137932</v>
      </c>
      <c r="F73" s="35" t="n">
        <v>67.79661016949153</v>
      </c>
      <c r="G73" s="35" t="n">
        <v>69.93006993006993</v>
      </c>
      <c r="H73" s="35" t="n">
        <v>70.4225352112676</v>
      </c>
      <c r="I73" s="35" t="n">
        <v>69.93006993006993</v>
      </c>
      <c r="J73" s="35" t="n">
        <v>74.34944237918215</v>
      </c>
      <c r="K73" s="35" t="n">
        <v>72.46376811594203</v>
      </c>
      <c r="L73" s="35" t="n">
        <v>72.46376811594203</v>
      </c>
      <c r="M73" s="35" t="n">
        <v>73.26007326007326</v>
      </c>
      <c r="N73" s="35" t="n">
        <v>69.44444444444444</v>
      </c>
      <c r="O73" s="35" t="n">
        <v>64.93506493506493</v>
      </c>
      <c r="P73" s="35" t="n">
        <v>66.66666666666667</v>
      </c>
      <c r="Q73" s="35" t="n">
        <v>66.88963210702342</v>
      </c>
      <c r="R73" s="35" t="n">
        <v>56.17977528089887</v>
      </c>
      <c r="S73" s="35" t="n">
        <v>54.94505494505494</v>
      </c>
      <c r="T73" s="35" t="n">
        <v>57.14285714285715</v>
      </c>
      <c r="U73" s="35" t="n">
        <v>55.40166204986149</v>
      </c>
      <c r="V73" s="35" t="n">
        <v>54.7945205479452</v>
      </c>
      <c r="W73" s="35" t="n">
        <v>57.97101449275362</v>
      </c>
      <c r="X73" s="35" t="n">
        <v>56.17977528089887</v>
      </c>
      <c r="Y73" s="35" t="n">
        <v>52.08333333333334</v>
      </c>
      <c r="Z73" s="35" t="n">
        <v>58.13953488372093</v>
      </c>
      <c r="AA73" s="35" t="n">
        <v>58.13953488372093</v>
      </c>
      <c r="AB73" s="35" t="n">
        <v>57.47126436781609</v>
      </c>
      <c r="AC73" s="35" t="n">
        <v>63.09148264984227</v>
      </c>
      <c r="AD73" s="35" t="n">
        <v>63.89776357827476</v>
      </c>
      <c r="AE73" s="35" t="n">
        <v>67.79661016949153</v>
      </c>
      <c r="AF73" s="35" t="n">
        <v>66.00660066006601</v>
      </c>
      <c r="AG73" s="35" t="n">
        <v>66.00660066006601</v>
      </c>
      <c r="AH73" s="35" t="n">
        <v>67.79661016949153</v>
      </c>
      <c r="AI73" s="35" t="n">
        <v>65.14657980456026</v>
      </c>
      <c r="AJ73" s="35" t="n">
        <v>64.1025641025641</v>
      </c>
      <c r="AK73" s="35" t="n">
        <v>61.34969325153374</v>
      </c>
      <c r="AL73" s="35" t="n">
        <v>67.56756756756756</v>
      </c>
      <c r="AM73" s="35" t="n">
        <v>68.49315068493151</v>
      </c>
      <c r="AN73" s="35" t="n">
        <v>72.20216606498195</v>
      </c>
      <c r="AO73" s="35" t="n">
        <v>68.96551724137932</v>
      </c>
      <c r="AP73" s="35" t="n">
        <v>69.20415224913495</v>
      </c>
      <c r="AQ73" s="35" t="n">
        <v>72.20216606498195</v>
      </c>
      <c r="AR73" s="35" t="n">
        <v>72.99270072992701</v>
      </c>
      <c r="AS73" s="35" t="n">
        <v>73.52941176470588</v>
      </c>
      <c r="AT73" s="35" t="n">
        <v>73.52941176470588</v>
      </c>
      <c r="AU73" s="35" t="n">
        <v>73.52941176470588</v>
      </c>
      <c r="AV73" s="35" t="n">
        <v>83.33333333333333</v>
      </c>
      <c r="AW73" s="35" t="n">
        <v>78.43137254901961</v>
      </c>
      <c r="AX73" s="35" t="n">
        <v>81.63265306122449</v>
      </c>
      <c r="AY73" s="35" t="n">
        <v>77.22007722007721</v>
      </c>
      <c r="AZ73" s="35" t="n">
        <v>77.51937984496124</v>
      </c>
      <c r="BA73" s="35" t="n">
        <v>72.20216606498195</v>
      </c>
      <c r="BB73" s="35" t="n">
        <v>72.20216606498195</v>
      </c>
      <c r="BC73" s="35" t="n">
        <v>75.18796992481202</v>
      </c>
      <c r="BD73" s="35" t="n">
        <v>76.04562737642586</v>
      </c>
      <c r="BE73" s="35" t="n">
        <v>75.18796992481202</v>
      </c>
      <c r="BF73" s="35" t="n">
        <v>76.92307692307692</v>
      </c>
      <c r="BG73" s="35" t="n">
        <v>77.82101167315174</v>
      </c>
      <c r="BH73" s="35" t="n">
        <v>78.125</v>
      </c>
      <c r="BI73" s="78">
        <f>SUM(E73:BH73)</f>
        <v/>
      </c>
      <c r="BJ73" s="79">
        <f>BI73*Weekly_Prices_VND!BH73</f>
        <v/>
      </c>
    </row>
    <row r="74" ht="19" customHeight="1">
      <c r="A74" s="71" t="n">
        <v>73</v>
      </c>
      <c r="B74" s="32" t="inlineStr">
        <is>
          <t>KSB</t>
        </is>
      </c>
      <c r="C74" s="33" t="inlineStr">
        <is>
          <t>Thép, Vật Liệu &amp; Xây Dựng</t>
        </is>
      </c>
      <c r="D74" s="71" t="inlineStr">
        <is>
          <t>HOSE</t>
        </is>
      </c>
      <c r="E74" s="35" t="n">
        <v>62.89308176100629</v>
      </c>
      <c r="F74" s="35" t="n">
        <v>60.97560975609756</v>
      </c>
      <c r="G74" s="35" t="n">
        <v>62.30529595015577</v>
      </c>
      <c r="H74" s="35" t="n">
        <v>58.8235294117647</v>
      </c>
      <c r="I74" s="35" t="n">
        <v>58.30903790087464</v>
      </c>
      <c r="J74" s="35" t="n">
        <v>58.47953216374269</v>
      </c>
      <c r="K74" s="35" t="n">
        <v>59.52380952380953</v>
      </c>
      <c r="L74" s="35" t="n">
        <v>59.52380952380953</v>
      </c>
      <c r="M74" s="35" t="n">
        <v>58.99705014749262</v>
      </c>
      <c r="N74" s="35" t="n">
        <v>57.63688760806917</v>
      </c>
      <c r="O74" s="35" t="n">
        <v>55.71030640668523</v>
      </c>
      <c r="P74" s="35" t="n">
        <v>55.40166204986149</v>
      </c>
      <c r="Q74" s="35" t="n">
        <v>55.55555555555556</v>
      </c>
      <c r="R74" s="35" t="n">
        <v>50.89058524173028</v>
      </c>
      <c r="S74" s="35" t="n">
        <v>49.38271604938272</v>
      </c>
      <c r="T74" s="35" t="n">
        <v>53.47593582887701</v>
      </c>
      <c r="U74" s="35" t="n">
        <v>53.33333333333334</v>
      </c>
      <c r="V74" s="35" t="n">
        <v>50.37783375314861</v>
      </c>
      <c r="W74" s="35" t="n">
        <v>51.41388174807198</v>
      </c>
      <c r="X74" s="35" t="n">
        <v>46.62004662004662</v>
      </c>
      <c r="Y74" s="35" t="n">
        <v>47.05882352941177</v>
      </c>
      <c r="Z74" s="35" t="n">
        <v>51.81347150259067</v>
      </c>
      <c r="AA74" s="35" t="n">
        <v>51.02040816326531</v>
      </c>
      <c r="AB74" s="35" t="n">
        <v>51.02040816326531</v>
      </c>
      <c r="AC74" s="35" t="n">
        <v>55.55555555555556</v>
      </c>
      <c r="AD74" s="35" t="n">
        <v>53.90835579514825</v>
      </c>
      <c r="AE74" s="35" t="n">
        <v>54.34782608695652</v>
      </c>
      <c r="AF74" s="35" t="n">
        <v>53.47593582887701</v>
      </c>
      <c r="AG74" s="35" t="n">
        <v>54.05405405405406</v>
      </c>
      <c r="AH74" s="35" t="n">
        <v>55.40166204986149</v>
      </c>
      <c r="AI74" s="35" t="n">
        <v>54.20054200542005</v>
      </c>
      <c r="AJ74" s="35" t="n">
        <v>55.55555555555556</v>
      </c>
      <c r="AK74" s="35" t="n">
        <v>53.76344086021506</v>
      </c>
      <c r="AL74" s="35" t="n">
        <v>56.81818181818182</v>
      </c>
      <c r="AM74" s="35" t="n">
        <v>58.47953216374269</v>
      </c>
      <c r="AN74" s="35" t="n">
        <v>62.30529595015577</v>
      </c>
      <c r="AO74" s="35" t="n">
        <v>58.13953488372093</v>
      </c>
      <c r="AP74" s="35" t="n">
        <v>58.13953488372093</v>
      </c>
      <c r="AQ74" s="35" t="n">
        <v>56.33802816901409</v>
      </c>
      <c r="AR74" s="35" t="n">
        <v>58.8235294117647</v>
      </c>
      <c r="AS74" s="35" t="n">
        <v>57.63688760806917</v>
      </c>
      <c r="AT74" s="35" t="n">
        <v>57.63688760806917</v>
      </c>
      <c r="AU74" s="35" t="n">
        <v>56.49717514124294</v>
      </c>
      <c r="AV74" s="35" t="n">
        <v>58.99705014749262</v>
      </c>
      <c r="AW74" s="35" t="n">
        <v>58.30903790087464</v>
      </c>
      <c r="AX74" s="35" t="n">
        <v>63.69426751592356</v>
      </c>
      <c r="AY74" s="35" t="n">
        <v>60.790273556231</v>
      </c>
      <c r="AZ74" s="35" t="n">
        <v>62.11180124223603</v>
      </c>
      <c r="BA74" s="35" t="n">
        <v>61.16207951070336</v>
      </c>
      <c r="BB74" s="35" t="n">
        <v>61.53846153846154</v>
      </c>
      <c r="BC74" s="35" t="n">
        <v>62.5</v>
      </c>
      <c r="BD74" s="35" t="n">
        <v>62.11180124223603</v>
      </c>
      <c r="BE74" s="35" t="n">
        <v>63.29113924050633</v>
      </c>
      <c r="BF74" s="35" t="n">
        <v>64.30868167202573</v>
      </c>
      <c r="BG74" s="35" t="n">
        <v>64.72491909385113</v>
      </c>
      <c r="BH74" s="35" t="n">
        <v>66.66666666666667</v>
      </c>
      <c r="BI74" s="78">
        <f>SUM(E74:BH74)</f>
        <v/>
      </c>
      <c r="BJ74" s="79">
        <f>BI74*Weekly_Prices_VND!BH74</f>
        <v/>
      </c>
    </row>
    <row r="75" ht="19" customHeight="1">
      <c r="A75" s="72" t="n">
        <v>74</v>
      </c>
      <c r="B75" s="38" t="inlineStr">
        <is>
          <t>PHR</t>
        </is>
      </c>
      <c r="C75" s="39" t="inlineStr">
        <is>
          <t>Hóa Chất, Phân Bón &amp; Cao Su</t>
        </is>
      </c>
      <c r="D75" s="72" t="inlineStr">
        <is>
          <t>HOSE</t>
        </is>
      </c>
      <c r="E75" s="41" t="n">
        <v>38.37953219548015</v>
      </c>
      <c r="F75" s="41" t="n">
        <v>38.2978720221254</v>
      </c>
      <c r="G75" s="41" t="n">
        <v>39.51701562558369</v>
      </c>
      <c r="H75" s="41" t="n">
        <v>34.3511447820913</v>
      </c>
      <c r="I75" s="41" t="n">
        <v>35.57312225502469</v>
      </c>
      <c r="J75" s="41" t="n">
        <v>34.15559822929907</v>
      </c>
      <c r="K75" s="41" t="n">
        <v>32.54972829241455</v>
      </c>
      <c r="L75" s="41" t="n">
        <v>29.75206765248283</v>
      </c>
      <c r="M75" s="41" t="n">
        <v>30.00000117187505</v>
      </c>
      <c r="N75" s="41" t="n">
        <v>29.26829156751938</v>
      </c>
      <c r="O75" s="41" t="n">
        <v>30.00000117187505</v>
      </c>
      <c r="P75" s="41" t="n">
        <v>27.73497755525273</v>
      </c>
      <c r="Q75" s="41" t="n">
        <v>28.12500068664552</v>
      </c>
      <c r="R75" s="41" t="n">
        <v>29.03225733285642</v>
      </c>
      <c r="S75" s="41" t="n">
        <v>29.03225733285642</v>
      </c>
      <c r="T75" s="41" t="n">
        <v>30.82191698357457</v>
      </c>
      <c r="U75" s="41" t="n">
        <v>32.14285691864637</v>
      </c>
      <c r="V75" s="41" t="n">
        <v>31.85840729990602</v>
      </c>
      <c r="W75" s="41" t="n">
        <v>31.57894801765929</v>
      </c>
      <c r="X75" s="41" t="n">
        <v>31.63444618001396</v>
      </c>
      <c r="Y75" s="41" t="n">
        <v>31.80211926341323</v>
      </c>
      <c r="Z75" s="41" t="n">
        <v>32.14285691864637</v>
      </c>
      <c r="AA75" s="41" t="n">
        <v>32.54972829241455</v>
      </c>
      <c r="AB75" s="41" t="n">
        <v>33.77110669433699</v>
      </c>
      <c r="AC75" s="41" t="n">
        <v>35.29411683607268</v>
      </c>
      <c r="AD75" s="41" t="n">
        <v>31.85840729990602</v>
      </c>
      <c r="AE75" s="41" t="n">
        <v>33.27171999976086</v>
      </c>
      <c r="AF75" s="41" t="n">
        <v>31.52364230073826</v>
      </c>
      <c r="AG75" s="41" t="n">
        <v>32.08556216756271</v>
      </c>
      <c r="AH75" s="41" t="n">
        <v>32.3741009468729</v>
      </c>
      <c r="AI75" s="41" t="n">
        <v>31.03448234059156</v>
      </c>
      <c r="AJ75" s="41" t="n">
        <v>33.02752340922482</v>
      </c>
      <c r="AK75" s="41" t="n">
        <v>31.14186830164719</v>
      </c>
      <c r="AL75" s="41" t="n">
        <v>32.20035868180788</v>
      </c>
      <c r="AM75" s="41" t="n">
        <v>30.76923076923077</v>
      </c>
      <c r="AN75" s="41" t="n">
        <v>28.84615276268957</v>
      </c>
      <c r="AO75" s="41" t="n">
        <v>27.27272630423557</v>
      </c>
      <c r="AP75" s="41" t="n">
        <v>28.93890747937368</v>
      </c>
      <c r="AQ75" s="41" t="n">
        <v>27.99377882006004</v>
      </c>
      <c r="AR75" s="41" t="n">
        <v>30.61224550805655</v>
      </c>
      <c r="AS75" s="41" t="n">
        <v>29.80132527424786</v>
      </c>
      <c r="AT75" s="41" t="n">
        <v>29.80132527424786</v>
      </c>
      <c r="AU75" s="41" t="n">
        <v>28.52614967626163</v>
      </c>
      <c r="AV75" s="41" t="n">
        <v>29.41176470588235</v>
      </c>
      <c r="AW75" s="41" t="n">
        <v>29.31596240411046</v>
      </c>
      <c r="AX75" s="41" t="n">
        <v>30.76923076923077</v>
      </c>
      <c r="AY75" s="41" t="n">
        <v>29.12621469683763</v>
      </c>
      <c r="AZ75" s="41" t="n">
        <v>28.66241895589078</v>
      </c>
      <c r="BA75" s="41" t="n">
        <v>28.70813504441294</v>
      </c>
      <c r="BB75" s="41" t="n">
        <v>29.07915846732843</v>
      </c>
      <c r="BC75" s="41" t="n">
        <v>29.6540358621546</v>
      </c>
      <c r="BD75" s="41" t="n">
        <v>29.31596240411046</v>
      </c>
      <c r="BE75" s="41" t="n">
        <v>28.16901408450704</v>
      </c>
      <c r="BF75" s="41" t="n">
        <v>25.24544290171121</v>
      </c>
      <c r="BG75" s="41" t="n">
        <v>26.86567132852529</v>
      </c>
      <c r="BH75" s="41" t="n">
        <v>26.74591257680569</v>
      </c>
      <c r="BI75" s="78">
        <f>SUM(E75:BH75)</f>
        <v/>
      </c>
      <c r="BJ75" s="79">
        <f>BI75*Weekly_Prices_VND!BH75</f>
        <v/>
      </c>
    </row>
    <row r="76" ht="19" customHeight="1">
      <c r="A76" s="72" t="n">
        <v>75</v>
      </c>
      <c r="B76" s="38" t="inlineStr">
        <is>
          <t>BFC</t>
        </is>
      </c>
      <c r="C76" s="39" t="inlineStr">
        <is>
          <t>Hóa Chất, Phân Bón &amp; Cao Su</t>
        </is>
      </c>
      <c r="D76" s="72" t="inlineStr">
        <is>
          <t>HOSE</t>
        </is>
      </c>
      <c r="E76" s="41" t="n">
        <v>22.22222222222222</v>
      </c>
      <c r="F76" s="41" t="n">
        <v>22.47191011235955</v>
      </c>
      <c r="G76" s="41" t="n">
        <v>21.45922746781116</v>
      </c>
      <c r="H76" s="41" t="n">
        <v>21.00840336134454</v>
      </c>
      <c r="I76" s="41" t="n">
        <v>21.25398512221042</v>
      </c>
      <c r="J76" s="41" t="n">
        <v>23.06805074971165</v>
      </c>
      <c r="K76" s="41" t="n">
        <v>20.9643605870021</v>
      </c>
      <c r="L76" s="41" t="n">
        <v>21.92982456140351</v>
      </c>
      <c r="M76" s="41" t="n">
        <v>21.45922746781116</v>
      </c>
      <c r="N76" s="41" t="n">
        <v>21.41327623126338</v>
      </c>
      <c r="O76" s="41" t="n">
        <v>22.1483942414175</v>
      </c>
      <c r="P76" s="41" t="n">
        <v>21.09704641350211</v>
      </c>
      <c r="Q76" s="41" t="n">
        <v>23.36448598130841</v>
      </c>
      <c r="R76" s="41" t="n">
        <v>22.52252252252252</v>
      </c>
      <c r="S76" s="41" t="n">
        <v>21.73913043478261</v>
      </c>
      <c r="T76" s="41" t="n">
        <v>19.68503937007874</v>
      </c>
      <c r="U76" s="41" t="n">
        <v>22.72727272727273</v>
      </c>
      <c r="V76" s="41" t="n">
        <v>22.80501710376283</v>
      </c>
      <c r="W76" s="41" t="n">
        <v>23.61275088547816</v>
      </c>
      <c r="X76" s="41" t="n">
        <v>22.77904328018223</v>
      </c>
      <c r="Y76" s="41" t="n">
        <v>23.4192037470726</v>
      </c>
      <c r="Z76" s="41" t="n">
        <v>24.21307506053269</v>
      </c>
      <c r="AA76" s="41" t="n">
        <v>23.14814814814815</v>
      </c>
      <c r="AB76" s="41" t="n">
        <v>23.80952380952381</v>
      </c>
      <c r="AC76" s="41" t="n">
        <v>23.20185614849188</v>
      </c>
      <c r="AD76" s="41" t="n">
        <v>21.85792349726776</v>
      </c>
      <c r="AE76" s="41" t="n">
        <v>22.72727272727273</v>
      </c>
      <c r="AF76" s="41" t="n">
        <v>21.73913043478261</v>
      </c>
      <c r="AG76" s="41" t="n">
        <v>22.62443438914027</v>
      </c>
      <c r="AH76" s="41" t="n">
        <v>23.14814814814815</v>
      </c>
      <c r="AI76" s="41" t="n">
        <v>23.01495972382048</v>
      </c>
      <c r="AJ76" s="41" t="n">
        <v>23.47417840375587</v>
      </c>
      <c r="AK76" s="41" t="n">
        <v>23.39181286549708</v>
      </c>
      <c r="AL76" s="41" t="n">
        <v>23.55712603062426</v>
      </c>
      <c r="AM76" s="41" t="n">
        <v>23.4192037470726</v>
      </c>
      <c r="AN76" s="41" t="n">
        <v>21.83406113537118</v>
      </c>
      <c r="AO76" s="41" t="n">
        <v>20.36659877800407</v>
      </c>
      <c r="AP76" s="41" t="n">
        <v>21.36752136752137</v>
      </c>
      <c r="AQ76" s="41" t="n">
        <v>20.9643605870021</v>
      </c>
      <c r="AR76" s="41" t="n">
        <v>18.45018450184502</v>
      </c>
      <c r="AS76" s="41" t="n">
        <v>16.52892561983471</v>
      </c>
      <c r="AT76" s="41" t="n">
        <v>16.52892561983471</v>
      </c>
      <c r="AU76" s="41" t="n">
        <v>13.58695652173913</v>
      </c>
      <c r="AV76" s="41" t="n">
        <v>14.30615164520744</v>
      </c>
      <c r="AW76" s="41" t="n">
        <v>14.90312965722802</v>
      </c>
      <c r="AX76" s="41" t="n">
        <v>18.05054151624549</v>
      </c>
      <c r="AY76" s="41" t="n">
        <v>17.69911504424779</v>
      </c>
      <c r="AZ76" s="41" t="n">
        <v>18.05054151624549</v>
      </c>
      <c r="BA76" s="41" t="n">
        <v>17.27115716753022</v>
      </c>
      <c r="BB76" s="41" t="n">
        <v>15.01501501501502</v>
      </c>
      <c r="BC76" s="41" t="n">
        <v>16.10305958132045</v>
      </c>
      <c r="BD76" s="41" t="n">
        <v>14.79289940828402</v>
      </c>
      <c r="BE76" s="41" t="n">
        <v>15.33742331288344</v>
      </c>
      <c r="BF76" s="41" t="n">
        <v>15.94896331738437</v>
      </c>
      <c r="BG76" s="41" t="n">
        <v>16.97792869269949</v>
      </c>
      <c r="BH76" s="41" t="n">
        <v>18.05054151624549</v>
      </c>
      <c r="BI76" s="78">
        <f>SUM(E76:BH76)</f>
        <v/>
      </c>
      <c r="BJ76" s="79">
        <f>BI76*Weekly_Prices_VND!BH76</f>
        <v/>
      </c>
    </row>
    <row r="77" ht="19" customHeight="1">
      <c r="A77" s="72" t="n">
        <v>76</v>
      </c>
      <c r="B77" s="38" t="inlineStr">
        <is>
          <t>DCM</t>
        </is>
      </c>
      <c r="C77" s="39" t="inlineStr">
        <is>
          <t>Hóa Chất, Phân Bón &amp; Cao Su</t>
        </is>
      </c>
      <c r="D77" s="72" t="inlineStr">
        <is>
          <t>HOSE</t>
        </is>
      </c>
      <c r="E77" s="41" t="n">
        <v>29.41176470588235</v>
      </c>
      <c r="F77" s="41" t="n">
        <v>29.58579881656805</v>
      </c>
      <c r="G77" s="41" t="n">
        <v>29.76190476190476</v>
      </c>
      <c r="H77" s="41" t="n">
        <v>29.76190476190476</v>
      </c>
      <c r="I77" s="41" t="n">
        <v>28.86002886002886</v>
      </c>
      <c r="J77" s="41" t="n">
        <v>29.23976608187134</v>
      </c>
      <c r="K77" s="41" t="n">
        <v>27.3224043715847</v>
      </c>
      <c r="L77" s="41" t="n">
        <v>27.73925104022191</v>
      </c>
      <c r="M77" s="41" t="n">
        <v>29.80625931445604</v>
      </c>
      <c r="N77" s="41" t="n">
        <v>29.23976608187134</v>
      </c>
      <c r="O77" s="41" t="n">
        <v>29.36857562408223</v>
      </c>
      <c r="P77" s="41" t="n">
        <v>28.40909090909091</v>
      </c>
      <c r="Q77" s="41" t="n">
        <v>27.89400278940028</v>
      </c>
      <c r="R77" s="41" t="n">
        <v>25.06265664160401</v>
      </c>
      <c r="S77" s="41" t="n">
        <v>24.72187886279357</v>
      </c>
      <c r="T77" s="41" t="n">
        <v>24.75247524752475</v>
      </c>
      <c r="U77" s="41" t="n">
        <v>25.60819462227913</v>
      </c>
      <c r="V77" s="41" t="n">
        <v>25.38071065989848</v>
      </c>
      <c r="W77" s="41" t="n">
        <v>25.94033722438392</v>
      </c>
      <c r="X77" s="41" t="n">
        <v>26.17801047120419</v>
      </c>
      <c r="Y77" s="41" t="n">
        <v>26.52519893899204</v>
      </c>
      <c r="Z77" s="41" t="n">
        <v>28.01120448179272</v>
      </c>
      <c r="AA77" s="41" t="n">
        <v>27.24795640326975</v>
      </c>
      <c r="AB77" s="41" t="n">
        <v>28.90173410404624</v>
      </c>
      <c r="AC77" s="41" t="n">
        <v>29.23976608187134</v>
      </c>
      <c r="AD77" s="41" t="n">
        <v>28.328611898017</v>
      </c>
      <c r="AE77" s="41" t="n">
        <v>29.23976608187134</v>
      </c>
      <c r="AF77" s="41" t="n">
        <v>29.06976744186046</v>
      </c>
      <c r="AG77" s="41" t="n">
        <v>29.36857562408223</v>
      </c>
      <c r="AH77" s="41" t="n">
        <v>29.49852507374631</v>
      </c>
      <c r="AI77" s="41" t="n">
        <v>29.23976608187134</v>
      </c>
      <c r="AJ77" s="41" t="n">
        <v>31.05590062111801</v>
      </c>
      <c r="AK77" s="41" t="n">
        <v>31.34796238244514</v>
      </c>
      <c r="AL77" s="41" t="n">
        <v>31.44654088050314</v>
      </c>
      <c r="AM77" s="41" t="n">
        <v>30.58103975535168</v>
      </c>
      <c r="AN77" s="41" t="n">
        <v>28.86002886002886</v>
      </c>
      <c r="AO77" s="41" t="n">
        <v>28.40909090909091</v>
      </c>
      <c r="AP77" s="41" t="n">
        <v>27.73925104022191</v>
      </c>
      <c r="AQ77" s="41" t="n">
        <v>27.3224043715847</v>
      </c>
      <c r="AR77" s="41" t="n">
        <v>25.77319587628866</v>
      </c>
      <c r="AS77" s="41" t="n">
        <v>25.51020408163265</v>
      </c>
      <c r="AT77" s="41" t="n">
        <v>25.51020408163265</v>
      </c>
      <c r="AU77" s="41" t="n">
        <v>23.28288707799767</v>
      </c>
      <c r="AV77" s="41" t="n">
        <v>20.2020202020202</v>
      </c>
      <c r="AW77" s="41" t="n">
        <v>20.8768267223382</v>
      </c>
      <c r="AX77" s="41" t="n">
        <v>22.93577981651376</v>
      </c>
      <c r="AY77" s="41" t="n">
        <v>20.61855670103093</v>
      </c>
      <c r="AZ77" s="41" t="n">
        <v>22.54791431792559</v>
      </c>
      <c r="BA77" s="41" t="n">
        <v>21.48227712137487</v>
      </c>
      <c r="BB77" s="41" t="n">
        <v>22.02643171806167</v>
      </c>
      <c r="BC77" s="41" t="n">
        <v>24.00960384153661</v>
      </c>
      <c r="BD77" s="41" t="n">
        <v>23.4192037470726</v>
      </c>
      <c r="BE77" s="41" t="n">
        <v>24.87562189054727</v>
      </c>
      <c r="BF77" s="41" t="n">
        <v>22.85714285714286</v>
      </c>
      <c r="BG77" s="41" t="n">
        <v>24.03846153846154</v>
      </c>
      <c r="BH77" s="41" t="n">
        <v>25.12562814070352</v>
      </c>
      <c r="BI77" s="78">
        <f>SUM(E77:BH77)</f>
        <v/>
      </c>
      <c r="BJ77" s="79">
        <f>BI77*Weekly_Prices_VND!BH77</f>
        <v/>
      </c>
    </row>
    <row r="78" ht="19" customHeight="1">
      <c r="A78" s="72" t="n">
        <v>77</v>
      </c>
      <c r="B78" s="38" t="inlineStr">
        <is>
          <t>DPM</t>
        </is>
      </c>
      <c r="C78" s="39" t="inlineStr">
        <is>
          <t>Hóa Chất, Phân Bón &amp; Cao Su</t>
        </is>
      </c>
      <c r="D78" s="72" t="inlineStr">
        <is>
          <t>HOSE</t>
        </is>
      </c>
      <c r="E78" s="41" t="n">
        <v>50.8033931506905</v>
      </c>
      <c r="F78" s="41" t="n">
        <v>50.7292276940762</v>
      </c>
      <c r="G78" s="41" t="n">
        <v>52.0202395308506</v>
      </c>
      <c r="H78" s="41" t="n">
        <v>51.55715185806638</v>
      </c>
      <c r="I78" s="41" t="n">
        <v>51.40461607428369</v>
      </c>
      <c r="J78" s="41" t="n">
        <v>49.50073864383445</v>
      </c>
      <c r="K78" s="41" t="n">
        <v>44.89601967848662</v>
      </c>
      <c r="L78" s="41" t="n">
        <v>45.72305065980059</v>
      </c>
      <c r="M78" s="41" t="n">
        <v>45.12924548749413</v>
      </c>
      <c r="N78" s="41" t="n">
        <v>44.89601967848662</v>
      </c>
      <c r="O78" s="41" t="n">
        <v>45.01233047736544</v>
      </c>
      <c r="P78" s="41" t="n">
        <v>42.32584485527703</v>
      </c>
      <c r="Q78" s="41" t="n">
        <v>42.37746167943536</v>
      </c>
      <c r="R78" s="41" t="n">
        <v>37.66478342749529</v>
      </c>
      <c r="S78" s="41" t="n">
        <v>35.39823008849557</v>
      </c>
      <c r="T78" s="41" t="n">
        <v>36.63003663003663</v>
      </c>
      <c r="U78" s="41" t="n">
        <v>37.5234521575985</v>
      </c>
      <c r="V78" s="41" t="n">
        <v>37.10575139146567</v>
      </c>
      <c r="W78" s="41" t="n">
        <v>38.09523809523809</v>
      </c>
      <c r="X78" s="41" t="n">
        <v>37.66478342749529</v>
      </c>
      <c r="Y78" s="41" t="n">
        <v>37.5234521575985</v>
      </c>
      <c r="Z78" s="41" t="n">
        <v>41.9287211740042</v>
      </c>
      <c r="AA78" s="41" t="n">
        <v>41.49377593360996</v>
      </c>
      <c r="AB78" s="41" t="n">
        <v>41.9287211740042</v>
      </c>
      <c r="AC78" s="41" t="n">
        <v>42.91845493562231</v>
      </c>
      <c r="AD78" s="41" t="n">
        <v>41.66666666666666</v>
      </c>
      <c r="AE78" s="41" t="n">
        <v>42.28329809725159</v>
      </c>
      <c r="AF78" s="41" t="n">
        <v>41.9287211740042</v>
      </c>
      <c r="AG78" s="41" t="n">
        <v>42.3728813559322</v>
      </c>
      <c r="AH78" s="41" t="n">
        <v>43.29004329004329</v>
      </c>
      <c r="AI78" s="41" t="n">
        <v>43.10344827586207</v>
      </c>
      <c r="AJ78" s="41" t="n">
        <v>45.45454545454545</v>
      </c>
      <c r="AK78" s="41" t="n">
        <v>44.44444444444444</v>
      </c>
      <c r="AL78" s="41" t="n">
        <v>45.24886877828055</v>
      </c>
      <c r="AM78" s="41" t="n">
        <v>44.9438202247191</v>
      </c>
      <c r="AN78" s="41" t="n">
        <v>42.10526315789474</v>
      </c>
      <c r="AO78" s="41" t="n">
        <v>41.49377593360996</v>
      </c>
      <c r="AP78" s="41" t="n">
        <v>40.73319755600814</v>
      </c>
      <c r="AQ78" s="41" t="n">
        <v>41.75365344467641</v>
      </c>
      <c r="AR78" s="41" t="n">
        <v>40.48582995951417</v>
      </c>
      <c r="AS78" s="41" t="n">
        <v>40</v>
      </c>
      <c r="AT78" s="41" t="n">
        <v>40</v>
      </c>
      <c r="AU78" s="41" t="n">
        <v>36.23188405797102</v>
      </c>
      <c r="AV78" s="41" t="n">
        <v>32.10272873194221</v>
      </c>
      <c r="AW78" s="41" t="n">
        <v>30.12048192771084</v>
      </c>
      <c r="AX78" s="41" t="n">
        <v>34.66204506065858</v>
      </c>
      <c r="AY78" s="41" t="n">
        <v>32.46753246753246</v>
      </c>
      <c r="AZ78" s="41" t="n">
        <v>34.72222222222222</v>
      </c>
      <c r="BA78" s="41" t="n">
        <v>34.36426116838488</v>
      </c>
      <c r="BB78" s="41" t="n">
        <v>34.60207612456747</v>
      </c>
      <c r="BC78" s="41" t="n">
        <v>37.80718336483932</v>
      </c>
      <c r="BD78" s="41" t="n">
        <v>37.73584905660378</v>
      </c>
      <c r="BE78" s="41" t="n">
        <v>38.68471953578337</v>
      </c>
      <c r="BF78" s="41" t="n">
        <v>37.03703703703704</v>
      </c>
      <c r="BG78" s="41" t="n">
        <v>37.80718336483932</v>
      </c>
      <c r="BH78" s="41" t="n">
        <v>38.61003861003861</v>
      </c>
      <c r="BI78" s="78">
        <f>SUM(E78:BH78)</f>
        <v/>
      </c>
      <c r="BJ78" s="79">
        <f>BI78*Weekly_Prices_VND!BH78</f>
        <v/>
      </c>
    </row>
    <row r="79" ht="19" customHeight="1">
      <c r="A79" s="72" t="n">
        <v>78</v>
      </c>
      <c r="B79" s="38" t="inlineStr">
        <is>
          <t>DPR</t>
        </is>
      </c>
      <c r="C79" s="39" t="inlineStr">
        <is>
          <t>Hóa Chất, Phân Bón &amp; Cao Su</t>
        </is>
      </c>
      <c r="D79" s="72" t="inlineStr">
        <is>
          <t>HOSE</t>
        </is>
      </c>
      <c r="E79" s="41" t="n">
        <v>26.00780234070221</v>
      </c>
      <c r="F79" s="41" t="n">
        <v>26.07561929595828</v>
      </c>
      <c r="G79" s="41" t="n">
        <v>27.02702702702703</v>
      </c>
      <c r="H79" s="41" t="n">
        <v>25.31645569620253</v>
      </c>
      <c r="I79" s="41" t="n">
        <v>25.47770700636943</v>
      </c>
      <c r="J79" s="41" t="n">
        <v>26.04166666666667</v>
      </c>
      <c r="K79" s="41" t="n">
        <v>25.06265664160401</v>
      </c>
      <c r="L79" s="41" t="n">
        <v>23.95209580838323</v>
      </c>
      <c r="M79" s="41" t="n">
        <v>25</v>
      </c>
      <c r="N79" s="41" t="n">
        <v>24.60024600246003</v>
      </c>
      <c r="O79" s="41" t="n">
        <v>24.87562189054727</v>
      </c>
      <c r="P79" s="41" t="n">
        <v>23.4192037470726</v>
      </c>
      <c r="Q79" s="41" t="n">
        <v>24.84472049689441</v>
      </c>
      <c r="R79" s="41" t="n">
        <v>24.42002442002442</v>
      </c>
      <c r="S79" s="41" t="n">
        <v>23.72479240806643</v>
      </c>
      <c r="T79" s="41" t="n">
        <v>26.38522427440633</v>
      </c>
      <c r="U79" s="41" t="n">
        <v>26.77376171352075</v>
      </c>
      <c r="V79" s="41" t="n">
        <v>26.24671916010499</v>
      </c>
      <c r="W79" s="41" t="n">
        <v>26.66666666666667</v>
      </c>
      <c r="X79" s="41" t="n">
        <v>26.04166666666667</v>
      </c>
      <c r="Y79" s="41" t="n">
        <v>25.67394094993582</v>
      </c>
      <c r="Z79" s="41" t="n">
        <v>26.88172043010753</v>
      </c>
      <c r="AA79" s="41" t="n">
        <v>26.66666666666667</v>
      </c>
      <c r="AB79" s="41" t="n">
        <v>27.3972602739726</v>
      </c>
      <c r="AC79" s="41" t="n">
        <v>27.35978112175103</v>
      </c>
      <c r="AD79" s="41" t="n">
        <v>25.77319587628866</v>
      </c>
      <c r="AE79" s="41" t="n">
        <v>27.24795640326975</v>
      </c>
      <c r="AF79" s="41" t="n">
        <v>26.31578947368421</v>
      </c>
      <c r="AG79" s="41" t="n">
        <v>26.10966057441253</v>
      </c>
      <c r="AH79" s="41" t="n">
        <v>25.67394094993582</v>
      </c>
      <c r="AI79" s="41" t="n">
        <v>26.24671916010499</v>
      </c>
      <c r="AJ79" s="41" t="n">
        <v>27.62430939226519</v>
      </c>
      <c r="AK79" s="41" t="n">
        <v>27.17391304347826</v>
      </c>
      <c r="AL79" s="41" t="n">
        <v>27.02702702702703</v>
      </c>
      <c r="AM79" s="41" t="n">
        <v>26.31578947368421</v>
      </c>
      <c r="AN79" s="41" t="n">
        <v>24.24242424242424</v>
      </c>
      <c r="AO79" s="41" t="n">
        <v>24.39024390243902</v>
      </c>
      <c r="AP79" s="41" t="n">
        <v>24.66091245376079</v>
      </c>
      <c r="AQ79" s="41" t="n">
        <v>24.24242424242424</v>
      </c>
      <c r="AR79" s="41" t="n">
        <v>25.31645569620253</v>
      </c>
      <c r="AS79" s="41" t="n">
        <v>25.31645569620253</v>
      </c>
      <c r="AT79" s="41" t="n">
        <v>25.31645569620253</v>
      </c>
      <c r="AU79" s="41" t="n">
        <v>23.4192037470726</v>
      </c>
      <c r="AV79" s="41" t="n">
        <v>23.33722287047841</v>
      </c>
      <c r="AW79" s="41" t="n">
        <v>24.27184466019418</v>
      </c>
      <c r="AX79" s="41" t="n">
        <v>25.70694087403599</v>
      </c>
      <c r="AY79" s="41" t="n">
        <v>24.69135802469136</v>
      </c>
      <c r="AZ79" s="41" t="n">
        <v>24.57002457002457</v>
      </c>
      <c r="BA79" s="41" t="n">
        <v>24.27184466019418</v>
      </c>
      <c r="BB79" s="41" t="n">
        <v>24.42002442002442</v>
      </c>
      <c r="BC79" s="41" t="n">
        <v>24.3605359317905</v>
      </c>
      <c r="BD79" s="41" t="n">
        <v>24.27184466019418</v>
      </c>
      <c r="BE79" s="41" t="n">
        <v>24.03846153846154</v>
      </c>
      <c r="BF79" s="41" t="n">
        <v>22.62443438914027</v>
      </c>
      <c r="BG79" s="41" t="n">
        <v>23.92344497607656</v>
      </c>
      <c r="BH79" s="41" t="n">
        <v>24.03846153846154</v>
      </c>
      <c r="BI79" s="78">
        <f>SUM(E79:BH79)</f>
        <v/>
      </c>
      <c r="BJ79" s="79">
        <f>BI79*Weekly_Prices_VND!BH79</f>
        <v/>
      </c>
    </row>
    <row r="80" ht="19" customHeight="1">
      <c r="A80" s="72" t="n">
        <v>79</v>
      </c>
      <c r="B80" s="38" t="inlineStr">
        <is>
          <t>CSV</t>
        </is>
      </c>
      <c r="C80" s="39" t="inlineStr">
        <is>
          <t>Hóa Chất, Phân Bón &amp; Cao Su</t>
        </is>
      </c>
      <c r="D80" s="72" t="inlineStr">
        <is>
          <t>HOSE</t>
        </is>
      </c>
      <c r="E80" s="41" t="n">
        <v>28.77697841726619</v>
      </c>
      <c r="F80" s="41" t="n">
        <v>27.97202797202797</v>
      </c>
      <c r="G80" s="41" t="n">
        <v>29.58579881656805</v>
      </c>
      <c r="H80" s="41" t="n">
        <v>28.81844380403458</v>
      </c>
      <c r="I80" s="41" t="n">
        <v>27.66251728907331</v>
      </c>
      <c r="J80" s="41" t="n">
        <v>28.16901408450704</v>
      </c>
      <c r="K80" s="41" t="n">
        <v>28.16901408450704</v>
      </c>
      <c r="L80" s="41" t="n">
        <v>28.61230329041488</v>
      </c>
      <c r="M80" s="41" t="n">
        <v>28.01120448179272</v>
      </c>
      <c r="N80" s="41" t="n">
        <v>27.58620689655172</v>
      </c>
      <c r="O80" s="41" t="n">
        <v>27.77777777777778</v>
      </c>
      <c r="P80" s="41" t="n">
        <v>26.17801047120419</v>
      </c>
      <c r="Q80" s="41" t="n">
        <v>28.01120448179272</v>
      </c>
      <c r="R80" s="41" t="n">
        <v>27.43484224965706</v>
      </c>
      <c r="S80" s="41" t="n">
        <v>27.54820936639118</v>
      </c>
      <c r="T80" s="41" t="n">
        <v>29.71768202080238</v>
      </c>
      <c r="U80" s="41" t="n">
        <v>29.62962962962963</v>
      </c>
      <c r="V80" s="41" t="n">
        <v>29.36857562408223</v>
      </c>
      <c r="W80" s="41" t="n">
        <v>30.72196620583717</v>
      </c>
      <c r="X80" s="41" t="n">
        <v>29.58579881656805</v>
      </c>
      <c r="Y80" s="41" t="n">
        <v>30.21148036253776</v>
      </c>
      <c r="Z80" s="41" t="n">
        <v>32.10272873194221</v>
      </c>
      <c r="AA80" s="41" t="n">
        <v>32.25806451612903</v>
      </c>
      <c r="AB80" s="41" t="n">
        <v>33.22259136212624</v>
      </c>
      <c r="AC80" s="41" t="n">
        <v>34.36426116838488</v>
      </c>
      <c r="AD80" s="41" t="n">
        <v>31.74603174603175</v>
      </c>
      <c r="AE80" s="41" t="n">
        <v>32.15434083601286</v>
      </c>
      <c r="AF80" s="41" t="n">
        <v>31.39717425431711</v>
      </c>
      <c r="AG80" s="41" t="n">
        <v>31.89792663476874</v>
      </c>
      <c r="AH80" s="41" t="n">
        <v>32.84072249589491</v>
      </c>
      <c r="AI80" s="41" t="n">
        <v>32.73322422258592</v>
      </c>
      <c r="AJ80" s="41" t="n">
        <v>35.1493848857645</v>
      </c>
      <c r="AK80" s="41" t="n">
        <v>35.71428571428572</v>
      </c>
      <c r="AL80" s="41" t="n">
        <v>37.17472118959108</v>
      </c>
      <c r="AM80" s="41" t="n">
        <v>36.63003663003663</v>
      </c>
      <c r="AN80" s="41" t="n">
        <v>35.1493848857645</v>
      </c>
      <c r="AO80" s="41" t="n">
        <v>32.36245954692556</v>
      </c>
      <c r="AP80" s="41" t="n">
        <v>32.57328990228013</v>
      </c>
      <c r="AQ80" s="41" t="n">
        <v>34.84320557491289</v>
      </c>
      <c r="AR80" s="41" t="n">
        <v>33.89830508474576</v>
      </c>
      <c r="AS80" s="41" t="n">
        <v>34.48275862068966</v>
      </c>
      <c r="AT80" s="41" t="n">
        <v>34.48275862068966</v>
      </c>
      <c r="AU80" s="41" t="n">
        <v>31.5955766192733</v>
      </c>
      <c r="AV80" s="41" t="n">
        <v>33.44481605351171</v>
      </c>
      <c r="AW80" s="41" t="n">
        <v>35.02626970227671</v>
      </c>
      <c r="AX80" s="41" t="n">
        <v>36.10108303249098</v>
      </c>
      <c r="AY80" s="41" t="n">
        <v>36.36363636363637</v>
      </c>
      <c r="AZ80" s="41" t="n">
        <v>36.29764065335753</v>
      </c>
      <c r="BA80" s="41" t="n">
        <v>36.16636528028933</v>
      </c>
      <c r="BB80" s="41" t="n">
        <v>36.42987249544627</v>
      </c>
      <c r="BC80" s="41" t="n">
        <v>38.02281368821293</v>
      </c>
      <c r="BD80" s="41" t="n">
        <v>38.53564547206166</v>
      </c>
      <c r="BE80" s="41" t="n">
        <v>38.16793893129771</v>
      </c>
      <c r="BF80" s="41" t="n">
        <v>38.31417624521073</v>
      </c>
      <c r="BG80" s="41" t="n">
        <v>38.75968992248062</v>
      </c>
      <c r="BH80" s="41" t="n">
        <v>40.48582995951417</v>
      </c>
      <c r="BI80" s="78">
        <f>SUM(E80:BH80)</f>
        <v/>
      </c>
      <c r="BJ80" s="79">
        <f>BI80*Weekly_Prices_VND!BH80</f>
        <v/>
      </c>
    </row>
    <row r="81" ht="19" customHeight="1">
      <c r="A81" s="72" t="n">
        <v>80</v>
      </c>
      <c r="B81" s="38" t="inlineStr">
        <is>
          <t>DGC</t>
        </is>
      </c>
      <c r="C81" s="39" t="inlineStr">
        <is>
          <t>Hóa Chất, Phân Bón &amp; Cao Su</t>
        </is>
      </c>
      <c r="D81" s="72" t="inlineStr">
        <is>
          <t>HOSE</t>
        </is>
      </c>
      <c r="E81" s="41" t="n">
        <v>10.84598698481562</v>
      </c>
      <c r="F81" s="41" t="n">
        <v>10.6951871657754</v>
      </c>
      <c r="G81" s="41" t="n">
        <v>11.26126126126126</v>
      </c>
      <c r="H81" s="41" t="n">
        <v>11.1731843575419</v>
      </c>
      <c r="I81" s="41" t="n">
        <v>11.03752759381898</v>
      </c>
      <c r="J81" s="41" t="n">
        <v>10.76426264800861</v>
      </c>
      <c r="K81" s="41" t="n">
        <v>10.26694045174538</v>
      </c>
      <c r="L81" s="41" t="n">
        <v>10.34126163391934</v>
      </c>
      <c r="M81" s="41" t="n">
        <v>9.708737864077669</v>
      </c>
      <c r="N81" s="41" t="n">
        <v>9.852216748768473</v>
      </c>
      <c r="O81" s="41" t="n">
        <v>9.699321047526674</v>
      </c>
      <c r="P81" s="41" t="n">
        <v>9.505703422053232</v>
      </c>
      <c r="Q81" s="41" t="n">
        <v>9.718172983479105</v>
      </c>
      <c r="R81" s="41" t="n">
        <v>9.407337723424272</v>
      </c>
      <c r="S81" s="41" t="n">
        <v>9.442870632672332</v>
      </c>
      <c r="T81" s="41" t="n">
        <v>10.34126163391934</v>
      </c>
      <c r="U81" s="41" t="n">
        <v>10.03009027081244</v>
      </c>
      <c r="V81" s="41" t="n">
        <v>10.07049345417926</v>
      </c>
      <c r="W81" s="41" t="n">
        <v>10.30927835051546</v>
      </c>
      <c r="X81" s="41" t="n">
        <v>10.12145748987854</v>
      </c>
      <c r="Y81" s="41" t="n">
        <v>10.36269430051813</v>
      </c>
      <c r="Z81" s="41" t="n">
        <v>10.89324618736383</v>
      </c>
      <c r="AA81" s="41" t="n">
        <v>10.6951871657754</v>
      </c>
      <c r="AB81" s="41" t="n">
        <v>10.52631578947368</v>
      </c>
      <c r="AC81" s="41" t="n">
        <v>10.98901098901099</v>
      </c>
      <c r="AD81" s="41" t="n">
        <v>10.68376068376068</v>
      </c>
      <c r="AE81" s="41" t="n">
        <v>10.74113856068743</v>
      </c>
      <c r="AF81" s="41" t="n">
        <v>10.06036217303823</v>
      </c>
      <c r="AG81" s="41" t="n">
        <v>10.33057851239669</v>
      </c>
      <c r="AH81" s="41" t="n">
        <v>10.60445387062566</v>
      </c>
      <c r="AI81" s="41" t="n">
        <v>10.52631578947368</v>
      </c>
      <c r="AJ81" s="41" t="n">
        <v>10.8695652173913</v>
      </c>
      <c r="AK81" s="41" t="n">
        <v>14.24501424501424</v>
      </c>
      <c r="AL81" s="41" t="n">
        <v>16.42036124794745</v>
      </c>
      <c r="AM81" s="41" t="n">
        <v>14.5985401459854</v>
      </c>
      <c r="AN81" s="41" t="n">
        <v>15.94896331738437</v>
      </c>
      <c r="AO81" s="41" t="n">
        <v>15.15151515151515</v>
      </c>
      <c r="AP81" s="41" t="n">
        <v>13.53179972936401</v>
      </c>
      <c r="AQ81" s="41" t="n">
        <v>14.57725947521866</v>
      </c>
      <c r="AR81" s="41" t="n">
        <v>15.31393568147014</v>
      </c>
      <c r="AS81" s="41" t="n">
        <v>14.61988304093567</v>
      </c>
      <c r="AT81" s="41" t="n">
        <v>14.61988304093567</v>
      </c>
      <c r="AU81" s="41" t="n">
        <v>13.55013550135501</v>
      </c>
      <c r="AV81" s="41" t="n">
        <v>13.67989056087551</v>
      </c>
      <c r="AW81" s="41" t="n">
        <v>12.91989664082687</v>
      </c>
      <c r="AX81" s="41" t="n">
        <v>18.01801801801802</v>
      </c>
      <c r="AY81" s="41" t="n">
        <v>19.3050193050193</v>
      </c>
      <c r="AZ81" s="41" t="n">
        <v>17.69911504424779</v>
      </c>
      <c r="BA81" s="41" t="n">
        <v>18.51851851851852</v>
      </c>
      <c r="BB81" s="41" t="n">
        <v>18.34862385321101</v>
      </c>
      <c r="BC81" s="41" t="n">
        <v>18.76172607879925</v>
      </c>
      <c r="BD81" s="41" t="n">
        <v>18.65671641791045</v>
      </c>
      <c r="BE81" s="41" t="n">
        <v>19.15708812260537</v>
      </c>
      <c r="BF81" s="41" t="n">
        <v>19.41747572815534</v>
      </c>
      <c r="BG81" s="41" t="n">
        <v>20.61855670103093</v>
      </c>
      <c r="BH81" s="41" t="n">
        <v>21.50537634408602</v>
      </c>
      <c r="BI81" s="78">
        <f>SUM(E81:BH81)</f>
        <v/>
      </c>
      <c r="BJ81" s="79">
        <f>BI81*Weekly_Prices_VND!BH81</f>
        <v/>
      </c>
    </row>
    <row r="82" ht="19" customHeight="1">
      <c r="A82" s="73" t="n">
        <v>81</v>
      </c>
      <c r="B82" s="44" t="inlineStr">
        <is>
          <t>PNJ</t>
        </is>
      </c>
      <c r="C82" s="45" t="inlineStr">
        <is>
          <t>Bán Lẻ, Tiêu Dùng &amp; Thực Phẩm</t>
        </is>
      </c>
      <c r="D82" s="73" t="inlineStr">
        <is>
          <t>HOSE</t>
        </is>
      </c>
      <c r="E82" s="47" t="n">
        <v>20.27027080527531</v>
      </c>
      <c r="F82" s="47" t="n">
        <v>17.77251143706237</v>
      </c>
      <c r="G82" s="47" t="n">
        <v>19.01140684410646</v>
      </c>
      <c r="H82" s="47" t="n">
        <v>17.85714285714286</v>
      </c>
      <c r="I82" s="47" t="n">
        <v>19.25545619522866</v>
      </c>
      <c r="J82" s="47" t="n">
        <v>19.15708812260537</v>
      </c>
      <c r="K82" s="47" t="n">
        <v>18.67995064114917</v>
      </c>
      <c r="L82" s="47" t="n">
        <v>18.54140959473041</v>
      </c>
      <c r="M82" s="47" t="n">
        <v>18.18181818181818</v>
      </c>
      <c r="N82" s="47" t="n">
        <v>18.2260019975983</v>
      </c>
      <c r="O82" s="47" t="n">
        <v>17.38122866683328</v>
      </c>
      <c r="P82" s="47" t="n">
        <v>17.44186086123412</v>
      </c>
      <c r="Q82" s="47" t="n">
        <v>17.77251143706237</v>
      </c>
      <c r="R82" s="47" t="n">
        <v>17.36111111111111</v>
      </c>
      <c r="S82" s="47" t="n">
        <v>17.04545416713747</v>
      </c>
      <c r="T82" s="47" t="n">
        <v>17.5233640861528</v>
      </c>
      <c r="U82" s="47" t="n">
        <v>17.5233640861528</v>
      </c>
      <c r="V82" s="47" t="n">
        <v>16.96832616675636</v>
      </c>
      <c r="W82" s="47" t="n">
        <v>17.40139171708709</v>
      </c>
      <c r="X82" s="47" t="n">
        <v>17.02610707439404</v>
      </c>
      <c r="Y82" s="47" t="n">
        <v>17.40139171708709</v>
      </c>
      <c r="Z82" s="47" t="n">
        <v>18.05054151624549</v>
      </c>
      <c r="AA82" s="47" t="n">
        <v>17.64705841803634</v>
      </c>
      <c r="AB82" s="47" t="n">
        <v>16.28664495114007</v>
      </c>
      <c r="AC82" s="47" t="n">
        <v>16.25135462341199</v>
      </c>
      <c r="AD82" s="47" t="n">
        <v>15.85623645909924</v>
      </c>
      <c r="AE82" s="47" t="n">
        <v>17.14285752551021</v>
      </c>
      <c r="AF82" s="47" t="n">
        <v>16.66666666666667</v>
      </c>
      <c r="AG82" s="47" t="n">
        <v>17.22158399958776</v>
      </c>
      <c r="AH82" s="47" t="n">
        <v>16.48351612973223</v>
      </c>
      <c r="AI82" s="47" t="n">
        <v>16.37554550236367</v>
      </c>
      <c r="AJ82" s="47" t="n">
        <v>16.70378582823406</v>
      </c>
      <c r="AK82" s="47" t="n">
        <v>16.21621587381301</v>
      </c>
      <c r="AL82" s="47" t="n">
        <v>15.64129333211054</v>
      </c>
      <c r="AM82" s="47" t="n">
        <v>15.46391721440244</v>
      </c>
      <c r="AN82" s="47" t="n">
        <v>14.56310734841882</v>
      </c>
      <c r="AO82" s="47" t="n">
        <v>13.92757660167131</v>
      </c>
      <c r="AP82" s="47" t="n">
        <v>13.34519526575028</v>
      </c>
      <c r="AQ82" s="47" t="n">
        <v>11.81102398532923</v>
      </c>
      <c r="AR82" s="47" t="n">
        <v>13.77410468319559</v>
      </c>
      <c r="AS82" s="47" t="n">
        <v>12.5</v>
      </c>
      <c r="AT82" s="47" t="n">
        <v>12.5</v>
      </c>
      <c r="AU82" s="47" t="n">
        <v>12.30516856494721</v>
      </c>
      <c r="AV82" s="47" t="n">
        <v>13.10043623429189</v>
      </c>
      <c r="AW82" s="47" t="n">
        <v>12.83147946858027</v>
      </c>
      <c r="AX82" s="47" t="n">
        <v>13.13485068907171</v>
      </c>
      <c r="AY82" s="47" t="n">
        <v>13.64877209568258</v>
      </c>
      <c r="AZ82" s="47" t="n">
        <v>13.7867642108957</v>
      </c>
      <c r="BA82" s="47" t="n">
        <v>13.76146838308015</v>
      </c>
      <c r="BB82" s="47" t="n">
        <v>13.51351351351351</v>
      </c>
      <c r="BC82" s="47" t="n">
        <v>14.28571428571429</v>
      </c>
      <c r="BD82" s="47" t="n">
        <v>14.85884101040119</v>
      </c>
      <c r="BE82" s="47" t="n">
        <v>14.26533523537803</v>
      </c>
      <c r="BF82" s="47" t="n">
        <v>14.85884101040119</v>
      </c>
      <c r="BG82" s="47" t="n">
        <v>15.26717557251908</v>
      </c>
      <c r="BH82" s="47" t="n">
        <v>15.19756838905775</v>
      </c>
      <c r="BI82" s="78">
        <f>SUM(E82:BH82)</f>
        <v/>
      </c>
      <c r="BJ82" s="79">
        <f>BI82*Weekly_Prices_VND!BH82</f>
        <v/>
      </c>
    </row>
    <row r="83" ht="19" customHeight="1">
      <c r="A83" s="73" t="n">
        <v>82</v>
      </c>
      <c r="B83" s="44" t="inlineStr">
        <is>
          <t>VHC</t>
        </is>
      </c>
      <c r="C83" s="45" t="inlineStr">
        <is>
          <t>Bán Lẻ, Tiêu Dùng &amp; Thực Phẩm</t>
        </is>
      </c>
      <c r="D83" s="73" t="inlineStr">
        <is>
          <t>HOSE</t>
        </is>
      </c>
      <c r="E83" s="47" t="n">
        <v>19.34235976789168</v>
      </c>
      <c r="F83" s="47" t="n">
        <v>18.55287569573284</v>
      </c>
      <c r="G83" s="47" t="n">
        <v>18.83239171374765</v>
      </c>
      <c r="H83" s="47" t="n">
        <v>17.33102253032929</v>
      </c>
      <c r="I83" s="47" t="n">
        <v>17.73049645390071</v>
      </c>
      <c r="J83" s="47" t="n">
        <v>18.48428835489834</v>
      </c>
      <c r="K83" s="47" t="n">
        <v>18.51851851851852</v>
      </c>
      <c r="L83" s="47" t="n">
        <v>17.09401709401709</v>
      </c>
      <c r="M83" s="47" t="n">
        <v>17.42160278745645</v>
      </c>
      <c r="N83" s="47" t="n">
        <v>16.92047377326565</v>
      </c>
      <c r="O83" s="47" t="n">
        <v>17.36111111111111</v>
      </c>
      <c r="P83" s="47" t="n">
        <v>17.18213058419244</v>
      </c>
      <c r="Q83" s="47" t="n">
        <v>17.6678445229682</v>
      </c>
      <c r="R83" s="47" t="n">
        <v>16.77852348993289</v>
      </c>
      <c r="S83" s="47" t="n">
        <v>16.31321370309951</v>
      </c>
      <c r="T83" s="47" t="n">
        <v>17.73049645390071</v>
      </c>
      <c r="U83" s="47" t="n">
        <v>17.39130434782609</v>
      </c>
      <c r="V83" s="47" t="n">
        <v>17.18213058419244</v>
      </c>
      <c r="W83" s="47" t="n">
        <v>16.75041876046901</v>
      </c>
      <c r="X83" s="47" t="n">
        <v>15.74803149606299</v>
      </c>
      <c r="Y83" s="47" t="n">
        <v>16.72240802675585</v>
      </c>
      <c r="Z83" s="47" t="n">
        <v>18.51851851851852</v>
      </c>
      <c r="AA83" s="47" t="n">
        <v>18.11594202898551</v>
      </c>
      <c r="AB83" s="47" t="n">
        <v>18.41620626151013</v>
      </c>
      <c r="AC83" s="47" t="n">
        <v>18.28153564899452</v>
      </c>
      <c r="AD83" s="47" t="n">
        <v>17.36111111111111</v>
      </c>
      <c r="AE83" s="47" t="n">
        <v>17.85714285714286</v>
      </c>
      <c r="AF83" s="47" t="n">
        <v>17.06484641638225</v>
      </c>
      <c r="AG83" s="47" t="n">
        <v>17.12328767123288</v>
      </c>
      <c r="AH83" s="47" t="n">
        <v>17.36111111111111</v>
      </c>
      <c r="AI83" s="47" t="n">
        <v>17.6056338028169</v>
      </c>
      <c r="AJ83" s="47" t="n">
        <v>18.18181818181818</v>
      </c>
      <c r="AK83" s="47" t="n">
        <v>18.34862385321101</v>
      </c>
      <c r="AL83" s="47" t="n">
        <v>18.6219739292365</v>
      </c>
      <c r="AM83" s="47" t="n">
        <v>17.825311942959</v>
      </c>
      <c r="AN83" s="47" t="n">
        <v>17.51313485113835</v>
      </c>
      <c r="AO83" s="47" t="n">
        <v>16.63893510815308</v>
      </c>
      <c r="AP83" s="47" t="n">
        <v>16.94915254237288</v>
      </c>
      <c r="AQ83" s="47" t="n">
        <v>15.45595054095827</v>
      </c>
      <c r="AR83" s="47" t="n">
        <v>16.66666666666667</v>
      </c>
      <c r="AS83" s="47" t="n">
        <v>16.63893510815308</v>
      </c>
      <c r="AT83" s="47" t="n">
        <v>16.63893510815308</v>
      </c>
      <c r="AU83" s="47" t="n">
        <v>16.26016260162602</v>
      </c>
      <c r="AV83" s="47" t="n">
        <v>16.89189189189189</v>
      </c>
      <c r="AW83" s="47" t="n">
        <v>16.5016501650165</v>
      </c>
      <c r="AX83" s="47" t="n">
        <v>17.39130434782609</v>
      </c>
      <c r="AY83" s="47" t="n">
        <v>17.00680272108843</v>
      </c>
      <c r="AZ83" s="47" t="n">
        <v>17.42160278745645</v>
      </c>
      <c r="BA83" s="47" t="n">
        <v>16.33986928104575</v>
      </c>
      <c r="BB83" s="47" t="n">
        <v>16.31321370309951</v>
      </c>
      <c r="BC83" s="47" t="n">
        <v>16.02564102564103</v>
      </c>
      <c r="BD83" s="47" t="n">
        <v>16.33986928104575</v>
      </c>
      <c r="BE83" s="47" t="n">
        <v>16.52892561983471</v>
      </c>
      <c r="BF83" s="47" t="n">
        <v>16.66666666666667</v>
      </c>
      <c r="BG83" s="47" t="n">
        <v>16.94915254237288</v>
      </c>
      <c r="BH83" s="47" t="n">
        <v>17.03577512776831</v>
      </c>
      <c r="BI83" s="78">
        <f>SUM(E83:BH83)</f>
        <v/>
      </c>
      <c r="BJ83" s="79">
        <f>BI83*Weekly_Prices_VND!BH83</f>
        <v/>
      </c>
    </row>
    <row r="84" ht="19" customHeight="1">
      <c r="A84" s="73" t="n">
        <v>83</v>
      </c>
      <c r="B84" s="44" t="inlineStr">
        <is>
          <t>BAF</t>
        </is>
      </c>
      <c r="C84" s="45" t="inlineStr">
        <is>
          <t>Bán Lẻ, Tiêu Dùng &amp; Thực Phẩm</t>
        </is>
      </c>
      <c r="D84" s="73" t="inlineStr">
        <is>
          <t>HOSE</t>
        </is>
      </c>
      <c r="E84" s="47" t="n">
        <v>35.48387074417924</v>
      </c>
      <c r="F84" s="47" t="n">
        <v>34.72023021682648</v>
      </c>
      <c r="G84" s="47" t="n">
        <v>34.27761925866614</v>
      </c>
      <c r="H84" s="47" t="n">
        <v>34.27761925866614</v>
      </c>
      <c r="I84" s="47" t="n">
        <v>33.33333333333334</v>
      </c>
      <c r="J84" s="47" t="n">
        <v>34.22913612145246</v>
      </c>
      <c r="K84" s="47" t="n">
        <v>34.0365673722939</v>
      </c>
      <c r="L84" s="47" t="n">
        <v>34.47293541286827</v>
      </c>
      <c r="M84" s="47" t="n">
        <v>35.64064760170463</v>
      </c>
      <c r="N84" s="47" t="n">
        <v>35.85185118792868</v>
      </c>
      <c r="O84" s="47" t="n">
        <v>35.58823494657629</v>
      </c>
      <c r="P84" s="47" t="n">
        <v>35.58823494657629</v>
      </c>
      <c r="Q84" s="47" t="n">
        <v>35.0724640262353</v>
      </c>
      <c r="R84" s="47" t="n">
        <v>34.72023021682648</v>
      </c>
      <c r="S84" s="47" t="n">
        <v>33.79888212837898</v>
      </c>
      <c r="T84" s="47" t="n">
        <v>33.06010960717745</v>
      </c>
      <c r="U84" s="47" t="n">
        <v>35.0724640262353</v>
      </c>
      <c r="V84" s="47" t="n">
        <v>34.92063535367851</v>
      </c>
      <c r="W84" s="47" t="n">
        <v>35.22561871184866</v>
      </c>
      <c r="X84" s="47" t="n">
        <v>35.64064760170463</v>
      </c>
      <c r="Y84" s="47" t="n">
        <v>34.62088775529524</v>
      </c>
      <c r="Z84" s="47" t="n">
        <v>34.77011554747754</v>
      </c>
      <c r="AA84" s="47" t="n">
        <v>34.18078994208893</v>
      </c>
      <c r="AB84" s="47" t="n">
        <v>35.64064760170463</v>
      </c>
      <c r="AC84" s="47" t="n">
        <v>36.94656552448139</v>
      </c>
      <c r="AD84" s="47" t="n">
        <v>37.69470382049075</v>
      </c>
      <c r="AE84" s="47" t="n">
        <v>38.11023549371475</v>
      </c>
      <c r="AF84" s="47" t="n">
        <v>37.51937982223875</v>
      </c>
      <c r="AG84" s="47" t="n">
        <v>38.05031381104511</v>
      </c>
      <c r="AH84" s="47" t="n">
        <v>38.41269731709816</v>
      </c>
      <c r="AI84" s="47" t="n">
        <v>35.12336739796902</v>
      </c>
      <c r="AJ84" s="47" t="n">
        <v>34.62088775529524</v>
      </c>
      <c r="AK84" s="47" t="n">
        <v>34.47293541286827</v>
      </c>
      <c r="AL84" s="47" t="n">
        <v>32.26666584319447</v>
      </c>
      <c r="AM84" s="47" t="n">
        <v>32.30974545221401</v>
      </c>
      <c r="AN84" s="47" t="n">
        <v>32.52688264262625</v>
      </c>
      <c r="AO84" s="47" t="n">
        <v>30.94629228664269</v>
      </c>
      <c r="AP84" s="47" t="n">
        <v>31.38780826414018</v>
      </c>
      <c r="AQ84" s="47" t="n">
        <v>33.75174287869538</v>
      </c>
      <c r="AR84" s="47" t="n">
        <v>31.80026255091769</v>
      </c>
      <c r="AS84" s="47" t="n">
        <v>31.63398686349267</v>
      </c>
      <c r="AT84" s="47" t="n">
        <v>31.63398686349267</v>
      </c>
      <c r="AU84" s="47" t="n">
        <v>32.09549010095473</v>
      </c>
      <c r="AV84" s="47" t="n">
        <v>32.61455608021958</v>
      </c>
      <c r="AW84" s="47" t="n">
        <v>34.37500104904178</v>
      </c>
      <c r="AX84" s="47" t="n">
        <v>34.62088775529524</v>
      </c>
      <c r="AY84" s="47" t="n">
        <v>34.87031749355972</v>
      </c>
      <c r="AZ84" s="47" t="n">
        <v>34.62088775529524</v>
      </c>
      <c r="BA84" s="47" t="n">
        <v>34.67048782392105</v>
      </c>
      <c r="BB84" s="47" t="n">
        <v>33.42541425643534</v>
      </c>
      <c r="BC84" s="47" t="n">
        <v>32.97002766906541</v>
      </c>
      <c r="BD84" s="47" t="n">
        <v>33.56449348589882</v>
      </c>
      <c r="BE84" s="47" t="n">
        <v>33.98876326175822</v>
      </c>
      <c r="BF84" s="47" t="n">
        <v>34.27761925866614</v>
      </c>
      <c r="BG84" s="47" t="n">
        <v>34.97109864096983</v>
      </c>
      <c r="BH84" s="47" t="n">
        <v>34.87031749355972</v>
      </c>
      <c r="BI84" s="78">
        <f>SUM(E84:BH84)</f>
        <v/>
      </c>
      <c r="BJ84" s="79">
        <f>BI84*Weekly_Prices_VND!BH84</f>
        <v/>
      </c>
    </row>
    <row r="85" ht="19" customHeight="1">
      <c r="A85" s="73" t="n">
        <v>84</v>
      </c>
      <c r="B85" s="44" t="inlineStr">
        <is>
          <t>PAN</t>
        </is>
      </c>
      <c r="C85" s="45" t="inlineStr">
        <is>
          <t>Bán Lẻ, Tiêu Dùng &amp; Thực Phẩm</t>
        </is>
      </c>
      <c r="D85" s="73" t="inlineStr">
        <is>
          <t>HOSE</t>
        </is>
      </c>
      <c r="E85" s="47" t="n">
        <v>50.84745931036345</v>
      </c>
      <c r="F85" s="47" t="n">
        <v>50</v>
      </c>
      <c r="G85" s="47" t="n">
        <v>50.42016641215315</v>
      </c>
      <c r="H85" s="47" t="n">
        <v>44.85981439427028</v>
      </c>
      <c r="I85" s="47" t="n">
        <v>42.85714166135207</v>
      </c>
      <c r="J85" s="47" t="n">
        <v>44.77611809771111</v>
      </c>
      <c r="K85" s="47" t="n">
        <v>45.28301753292991</v>
      </c>
      <c r="L85" s="47" t="n">
        <v>44.9438202247191</v>
      </c>
      <c r="M85" s="47" t="n">
        <v>42.03152479289417</v>
      </c>
      <c r="N85" s="47" t="n">
        <v>41.52249022700881</v>
      </c>
      <c r="O85" s="47" t="n">
        <v>39.86710859979473</v>
      </c>
      <c r="P85" s="47" t="n">
        <v>35.34609801514401</v>
      </c>
      <c r="Q85" s="47" t="n">
        <v>35.29411683607268</v>
      </c>
      <c r="R85" s="47" t="n">
        <v>34.3839533850297</v>
      </c>
      <c r="S85" s="47" t="n">
        <v>35.55555555555556</v>
      </c>
      <c r="T85" s="47" t="n">
        <v>38.77221422587375</v>
      </c>
      <c r="U85" s="47" t="n">
        <v>35.55555555555556</v>
      </c>
      <c r="V85" s="47" t="n">
        <v>35.92814287218977</v>
      </c>
      <c r="W85" s="47" t="n">
        <v>36.30862415631203</v>
      </c>
      <c r="X85" s="47" t="n">
        <v>36.19909502262443</v>
      </c>
      <c r="Y85" s="47" t="n">
        <v>35.92814287218977</v>
      </c>
      <c r="Z85" s="47" t="n">
        <v>37.73584905660378</v>
      </c>
      <c r="AA85" s="47" t="n">
        <v>38.83495145631068</v>
      </c>
      <c r="AB85" s="47" t="n">
        <v>38.27751196172249</v>
      </c>
      <c r="AC85" s="47" t="n">
        <v>40.13378031286006</v>
      </c>
      <c r="AD85" s="47" t="n">
        <v>38.33865719002952</v>
      </c>
      <c r="AE85" s="47" t="n">
        <v>39.66942046308315</v>
      </c>
      <c r="AF85" s="47" t="n">
        <v>41.73912930056714</v>
      </c>
      <c r="AG85" s="47" t="n">
        <v>43.63636487603309</v>
      </c>
      <c r="AH85" s="47" t="n">
        <v>43.47826086956522</v>
      </c>
      <c r="AI85" s="47" t="n">
        <v>43.16546883895764</v>
      </c>
      <c r="AJ85" s="47" t="n">
        <v>42.7046275218146</v>
      </c>
      <c r="AK85" s="47" t="n">
        <v>42.7046275218146</v>
      </c>
      <c r="AL85" s="47" t="n">
        <v>43.16546883895764</v>
      </c>
      <c r="AM85" s="47" t="n">
        <v>43.95604395604396</v>
      </c>
      <c r="AN85" s="47" t="n">
        <v>44.9438202247191</v>
      </c>
      <c r="AO85" s="47" t="n">
        <v>42.5531914893617</v>
      </c>
      <c r="AP85" s="47" t="n">
        <v>41.37931145957197</v>
      </c>
      <c r="AQ85" s="47" t="n">
        <v>40.26845532014327</v>
      </c>
      <c r="AR85" s="47" t="n">
        <v>39.73510036566381</v>
      </c>
      <c r="AS85" s="47" t="n">
        <v>37.97468260545187</v>
      </c>
      <c r="AT85" s="47" t="n">
        <v>37.97468260545187</v>
      </c>
      <c r="AU85" s="47" t="n">
        <v>36.36363636363637</v>
      </c>
      <c r="AV85" s="47" t="n">
        <v>35.71428571428572</v>
      </c>
      <c r="AW85" s="47" t="n">
        <v>37.26707984115198</v>
      </c>
      <c r="AX85" s="47" t="n">
        <v>42.47787728091475</v>
      </c>
      <c r="AY85" s="47" t="n">
        <v>39.80099502487562</v>
      </c>
      <c r="AZ85" s="47" t="n">
        <v>38.15580191385627</v>
      </c>
      <c r="BA85" s="47" t="n">
        <v>37.15170368497736</v>
      </c>
      <c r="BB85" s="47" t="n">
        <v>37.50000091552737</v>
      </c>
      <c r="BC85" s="47" t="n">
        <v>37.73584905660378</v>
      </c>
      <c r="BD85" s="47" t="n">
        <v>38.09523809523809</v>
      </c>
      <c r="BE85" s="47" t="n">
        <v>36.64122224812076</v>
      </c>
      <c r="BF85" s="47" t="n">
        <v>36.41881552497118</v>
      </c>
      <c r="BG85" s="47" t="n">
        <v>36.75344475609101</v>
      </c>
      <c r="BH85" s="47" t="n">
        <v>40.8997955010225</v>
      </c>
      <c r="BI85" s="78">
        <f>SUM(E85:BH85)</f>
        <v/>
      </c>
      <c r="BJ85" s="79">
        <f>BI85*Weekly_Prices_VND!BH85</f>
        <v/>
      </c>
    </row>
    <row r="86" ht="19" customHeight="1">
      <c r="A86" s="73" t="n">
        <v>85</v>
      </c>
      <c r="B86" s="44" t="inlineStr">
        <is>
          <t>HAG</t>
        </is>
      </c>
      <c r="C86" s="45" t="inlineStr">
        <is>
          <t>Bán Lẻ, Tiêu Dùng &amp; Thực Phẩm</t>
        </is>
      </c>
      <c r="D86" s="73" t="inlineStr">
        <is>
          <t>HOSE</t>
        </is>
      </c>
      <c r="E86" s="47" t="n">
        <v>76.92307692307692</v>
      </c>
      <c r="F86" s="47" t="n">
        <v>75.75757575757575</v>
      </c>
      <c r="G86" s="47" t="n">
        <v>76.04562737642586</v>
      </c>
      <c r="H86" s="47" t="n">
        <v>71.94244604316546</v>
      </c>
      <c r="I86" s="47" t="n">
        <v>76.92307692307692</v>
      </c>
      <c r="J86" s="47" t="n">
        <v>75.47169811320755</v>
      </c>
      <c r="K86" s="47" t="n">
        <v>77.22007722007721</v>
      </c>
      <c r="L86" s="47" t="n">
        <v>77.22007722007721</v>
      </c>
      <c r="M86" s="47" t="n">
        <v>75.75757575757575</v>
      </c>
      <c r="N86" s="47" t="n">
        <v>73.80073800738008</v>
      </c>
      <c r="O86" s="47" t="n">
        <v>71.94244604316546</v>
      </c>
      <c r="P86" s="47" t="n">
        <v>71.42857142857143</v>
      </c>
      <c r="Q86" s="47" t="n">
        <v>71.68458781362007</v>
      </c>
      <c r="R86" s="47" t="n">
        <v>66.2251655629139</v>
      </c>
      <c r="S86" s="47" t="n">
        <v>62.89308176100629</v>
      </c>
      <c r="T86" s="47" t="n">
        <v>59.34718100890208</v>
      </c>
      <c r="U86" s="47" t="n">
        <v>61.16207951070336</v>
      </c>
      <c r="V86" s="47" t="n">
        <v>60.790273556231</v>
      </c>
      <c r="W86" s="47" t="n">
        <v>64.30868167202573</v>
      </c>
      <c r="X86" s="47" t="n">
        <v>64.1025641025641</v>
      </c>
      <c r="Y86" s="47" t="n">
        <v>63.49206349206349</v>
      </c>
      <c r="Z86" s="47" t="n">
        <v>59.70149253731343</v>
      </c>
      <c r="AA86" s="47" t="n">
        <v>58.47953216374269</v>
      </c>
      <c r="AB86" s="47" t="n">
        <v>61.34969325153374</v>
      </c>
      <c r="AC86" s="47" t="n">
        <v>63.89776357827476</v>
      </c>
      <c r="AD86" s="47" t="n">
        <v>58.47953216374269</v>
      </c>
      <c r="AE86" s="47" t="n">
        <v>62.89308176100629</v>
      </c>
      <c r="AF86" s="47" t="n">
        <v>56.657223796034</v>
      </c>
      <c r="AG86" s="47" t="n">
        <v>56.17977528089887</v>
      </c>
      <c r="AH86" s="47" t="n">
        <v>57.47126436781609</v>
      </c>
      <c r="AI86" s="47" t="n">
        <v>55.55555555555556</v>
      </c>
      <c r="AJ86" s="47" t="n">
        <v>58.30903790087464</v>
      </c>
      <c r="AK86" s="47" t="n">
        <v>55.40166204986149</v>
      </c>
      <c r="AL86" s="47" t="n">
        <v>55.8659217877095</v>
      </c>
      <c r="AM86" s="47" t="n">
        <v>56.98005698005698</v>
      </c>
      <c r="AN86" s="47" t="n">
        <v>60.24096385542169</v>
      </c>
      <c r="AO86" s="47" t="n">
        <v>56.33802816901409</v>
      </c>
      <c r="AP86" s="47" t="n">
        <v>55.71030640668523</v>
      </c>
      <c r="AQ86" s="47" t="n">
        <v>57.97101449275362</v>
      </c>
      <c r="AR86" s="47" t="n">
        <v>62.11180124223603</v>
      </c>
      <c r="AS86" s="47" t="n">
        <v>60.24096385542169</v>
      </c>
      <c r="AT86" s="47" t="n">
        <v>60.24096385542169</v>
      </c>
      <c r="AU86" s="47" t="n">
        <v>62.69592476489028</v>
      </c>
      <c r="AV86" s="47" t="n">
        <v>64.30868167202573</v>
      </c>
      <c r="AW86" s="47" t="n">
        <v>65.78947368421052</v>
      </c>
      <c r="AX86" s="47" t="n">
        <v>64.93506493506493</v>
      </c>
      <c r="AY86" s="47" t="n">
        <v>61.91950464396285</v>
      </c>
      <c r="AZ86" s="47" t="n">
        <v>62.69592476489028</v>
      </c>
      <c r="BA86" s="47" t="n">
        <v>62.30529595015577</v>
      </c>
      <c r="BB86" s="47" t="n">
        <v>60.06006006006006</v>
      </c>
      <c r="BC86" s="47" t="n">
        <v>61.34969325153374</v>
      </c>
      <c r="BD86" s="47" t="n">
        <v>61.34969325153374</v>
      </c>
      <c r="BE86" s="47" t="n">
        <v>60.42296072507553</v>
      </c>
      <c r="BF86" s="47" t="n">
        <v>62.11180124223603</v>
      </c>
      <c r="BG86" s="47" t="n">
        <v>64.72491909385113</v>
      </c>
      <c r="BH86" s="47" t="n">
        <v>65.359477124183</v>
      </c>
      <c r="BI86" s="78">
        <f>SUM(E86:BH86)</f>
        <v/>
      </c>
      <c r="BJ86" s="79">
        <f>BI86*Weekly_Prices_VND!BH86</f>
        <v/>
      </c>
    </row>
    <row r="87" ht="19" customHeight="1">
      <c r="A87" s="73" t="n">
        <v>86</v>
      </c>
      <c r="B87" s="44" t="inlineStr">
        <is>
          <t>DGW</t>
        </is>
      </c>
      <c r="C87" s="45" t="inlineStr">
        <is>
          <t>Bán Lẻ, Tiêu Dùng &amp; Thực Phẩm</t>
        </is>
      </c>
      <c r="D87" s="73" t="inlineStr">
        <is>
          <t>HOSE</t>
        </is>
      </c>
      <c r="E87" s="47" t="n">
        <v>29.54209748892171</v>
      </c>
      <c r="F87" s="47" t="n">
        <v>29.06976744186046</v>
      </c>
      <c r="G87" s="47" t="n">
        <v>30.16591251885369</v>
      </c>
      <c r="H87" s="47" t="n">
        <v>29.85074626865672</v>
      </c>
      <c r="I87" s="47" t="n">
        <v>28.61230329041488</v>
      </c>
      <c r="J87" s="47" t="n">
        <v>24.81389578163772</v>
      </c>
      <c r="K87" s="47" t="n">
        <v>22.80501710376283</v>
      </c>
      <c r="L87" s="47" t="n">
        <v>21.73913043478261</v>
      </c>
      <c r="M87" s="47" t="n">
        <v>22.85714285714286</v>
      </c>
      <c r="N87" s="47" t="n">
        <v>22.37136465324385</v>
      </c>
      <c r="O87" s="47" t="n">
        <v>22.47191011235955</v>
      </c>
      <c r="P87" s="47" t="n">
        <v>21.27659574468085</v>
      </c>
      <c r="Q87" s="47" t="n">
        <v>23.50176263219742</v>
      </c>
      <c r="R87" s="47" t="n">
        <v>21.52852529601722</v>
      </c>
      <c r="S87" s="47" t="n">
        <v>21.57497303128371</v>
      </c>
      <c r="T87" s="47" t="n">
        <v>24.09638554216868</v>
      </c>
      <c r="U87" s="47" t="n">
        <v>23.75296912114014</v>
      </c>
      <c r="V87" s="47" t="n">
        <v>22.72727272727273</v>
      </c>
      <c r="W87" s="47" t="n">
        <v>22.85714285714286</v>
      </c>
      <c r="X87" s="47" t="n">
        <v>22.98850574712644</v>
      </c>
      <c r="Y87" s="47" t="n">
        <v>23.58490566037736</v>
      </c>
      <c r="Z87" s="47" t="n">
        <v>24.47980416156671</v>
      </c>
      <c r="AA87" s="47" t="n">
        <v>24.44987775061125</v>
      </c>
      <c r="AB87" s="47" t="n">
        <v>24.50980392156863</v>
      </c>
      <c r="AC87" s="47" t="n">
        <v>25.64102564102564</v>
      </c>
      <c r="AD87" s="47" t="n">
        <v>24.60024600246003</v>
      </c>
      <c r="AE87" s="47" t="n">
        <v>25.97402597402597</v>
      </c>
      <c r="AF87" s="47" t="n">
        <v>25.03128911138923</v>
      </c>
      <c r="AG87" s="47" t="n">
        <v>22.271714922049</v>
      </c>
      <c r="AH87" s="47" t="n">
        <v>22.88329519450801</v>
      </c>
      <c r="AI87" s="47" t="n">
        <v>22.96211251435132</v>
      </c>
      <c r="AJ87" s="47" t="n">
        <v>25.51020408163265</v>
      </c>
      <c r="AK87" s="47" t="n">
        <v>24.906600249066</v>
      </c>
      <c r="AL87" s="47" t="n">
        <v>25.60819462227913</v>
      </c>
      <c r="AM87" s="47" t="n">
        <v>25.64102564102564</v>
      </c>
      <c r="AN87" s="47" t="n">
        <v>23.80952380952381</v>
      </c>
      <c r="AO87" s="47" t="n">
        <v>21.73913043478261</v>
      </c>
      <c r="AP87" s="47" t="n">
        <v>21.85792349726776</v>
      </c>
      <c r="AQ87" s="47" t="n">
        <v>20.40816326530612</v>
      </c>
      <c r="AR87" s="47" t="n">
        <v>18.69158878504673</v>
      </c>
      <c r="AS87" s="47" t="n">
        <v>19.8019801980198</v>
      </c>
      <c r="AT87" s="47" t="n">
        <v>19.8019801980198</v>
      </c>
      <c r="AU87" s="47" t="n">
        <v>19.53125</v>
      </c>
      <c r="AV87" s="47" t="n">
        <v>22.3463687150838</v>
      </c>
      <c r="AW87" s="47" t="n">
        <v>23.17497103128621</v>
      </c>
      <c r="AX87" s="47" t="n">
        <v>23.80952380952381</v>
      </c>
      <c r="AY87" s="47" t="n">
        <v>21.97802197802198</v>
      </c>
      <c r="AZ87" s="47" t="n">
        <v>22.77904328018223</v>
      </c>
      <c r="BA87" s="47" t="n">
        <v>21.90580503833516</v>
      </c>
      <c r="BB87" s="47" t="n">
        <v>21.76278563656148</v>
      </c>
      <c r="BC87" s="47" t="n">
        <v>22.47191011235955</v>
      </c>
      <c r="BD87" s="47" t="n">
        <v>23.01495972382048</v>
      </c>
      <c r="BE87" s="47" t="n">
        <v>23.09468822170901</v>
      </c>
      <c r="BF87" s="47" t="n">
        <v>23.58490566037736</v>
      </c>
      <c r="BG87" s="47" t="n">
        <v>24.24242424242424</v>
      </c>
      <c r="BH87" s="47" t="n">
        <v>24.47980416156671</v>
      </c>
      <c r="BI87" s="78">
        <f>SUM(E87:BH87)</f>
        <v/>
      </c>
      <c r="BJ87" s="79">
        <f>BI87*Weekly_Prices_VND!BH87</f>
        <v/>
      </c>
    </row>
    <row r="88" ht="19" customHeight="1">
      <c r="A88" s="73" t="n">
        <v>87</v>
      </c>
      <c r="B88" s="44" t="inlineStr">
        <is>
          <t>KDC</t>
        </is>
      </c>
      <c r="C88" s="45" t="inlineStr">
        <is>
          <t>Bán Lẻ, Tiêu Dùng &amp; Thực Phẩm</t>
        </is>
      </c>
      <c r="D88" s="73" t="inlineStr">
        <is>
          <t>HOSE</t>
        </is>
      </c>
      <c r="E88" s="47" t="n">
        <v>17.825311942959</v>
      </c>
      <c r="F88" s="47" t="n">
        <v>17.88908765652952</v>
      </c>
      <c r="G88" s="47" t="n">
        <v>18.08318264014467</v>
      </c>
      <c r="H88" s="47" t="n">
        <v>18.24817518248175</v>
      </c>
      <c r="I88" s="47" t="n">
        <v>18.48428835489834</v>
      </c>
      <c r="J88" s="47" t="n">
        <v>18.86792452830189</v>
      </c>
      <c r="K88" s="47" t="n">
        <v>17.69911504424779</v>
      </c>
      <c r="L88" s="47" t="n">
        <v>17.54385964912281</v>
      </c>
      <c r="M88" s="47" t="n">
        <v>17.73049645390071</v>
      </c>
      <c r="N88" s="47" t="n">
        <v>17.88908765652952</v>
      </c>
      <c r="O88" s="47" t="n">
        <v>17.79359430604982</v>
      </c>
      <c r="P88" s="47" t="n">
        <v>18.01801801801802</v>
      </c>
      <c r="Q88" s="47" t="n">
        <v>18.55287569573284</v>
      </c>
      <c r="R88" s="47" t="n">
        <v>18.28153564899452</v>
      </c>
      <c r="S88" s="47" t="n">
        <v>18.28153564899452</v>
      </c>
      <c r="T88" s="47" t="n">
        <v>18.51851851851852</v>
      </c>
      <c r="U88" s="47" t="n">
        <v>18.58736059479554</v>
      </c>
      <c r="V88" s="47" t="n">
        <v>18.28153564899452</v>
      </c>
      <c r="W88" s="47" t="n">
        <v>18.48428835489834</v>
      </c>
      <c r="X88" s="47" t="n">
        <v>19.3050193050193</v>
      </c>
      <c r="Y88" s="47" t="n">
        <v>19.04761904761905</v>
      </c>
      <c r="Z88" s="47" t="n">
        <v>19.08396946564886</v>
      </c>
      <c r="AA88" s="47" t="n">
        <v>18.9753320683112</v>
      </c>
      <c r="AB88" s="47" t="n">
        <v>19.19385796545106</v>
      </c>
      <c r="AC88" s="47" t="n">
        <v>19.19385796545106</v>
      </c>
      <c r="AD88" s="47" t="n">
        <v>19.3050193050193</v>
      </c>
      <c r="AE88" s="47" t="n">
        <v>19.23076923076923</v>
      </c>
      <c r="AF88" s="47" t="n">
        <v>18.9753320683112</v>
      </c>
      <c r="AG88" s="47" t="n">
        <v>19.01140684410646</v>
      </c>
      <c r="AH88" s="47" t="n">
        <v>19.23076923076923</v>
      </c>
      <c r="AI88" s="47" t="n">
        <v>19.19385796545106</v>
      </c>
      <c r="AJ88" s="47" t="n">
        <v>19.53125</v>
      </c>
      <c r="AK88" s="47" t="n">
        <v>18.93939393939394</v>
      </c>
      <c r="AL88" s="47" t="n">
        <v>19.23076923076923</v>
      </c>
      <c r="AM88" s="47" t="n">
        <v>19.23076923076923</v>
      </c>
      <c r="AN88" s="47" t="n">
        <v>19.41747572815534</v>
      </c>
      <c r="AO88" s="47" t="n">
        <v>19.88071570576541</v>
      </c>
      <c r="AP88" s="47" t="n">
        <v>19.96007984031936</v>
      </c>
      <c r="AQ88" s="47" t="n">
        <v>20</v>
      </c>
      <c r="AR88" s="47" t="n">
        <v>19.19385796545106</v>
      </c>
      <c r="AS88" s="47" t="n">
        <v>19.19385796545106</v>
      </c>
      <c r="AT88" s="47" t="n">
        <v>19.19385796545106</v>
      </c>
      <c r="AU88" s="47" t="n">
        <v>19.49317738791423</v>
      </c>
      <c r="AV88" s="47" t="n">
        <v>19.88071570576541</v>
      </c>
      <c r="AW88" s="47" t="n">
        <v>19.53125</v>
      </c>
      <c r="AX88" s="47" t="n">
        <v>20.02002002002002</v>
      </c>
      <c r="AY88" s="47" t="n">
        <v>20.26342451874367</v>
      </c>
      <c r="AZ88" s="47" t="n">
        <v>20.42900919305414</v>
      </c>
      <c r="BA88" s="47" t="n">
        <v>20.49180327868853</v>
      </c>
      <c r="BB88" s="47" t="n">
        <v>20.83333333333333</v>
      </c>
      <c r="BC88" s="47" t="n">
        <v>22.37136465324385</v>
      </c>
      <c r="BD88" s="47" t="n">
        <v>22.8310502283105</v>
      </c>
      <c r="BE88" s="47" t="n">
        <v>20.8768267223382</v>
      </c>
      <c r="BF88" s="47" t="n">
        <v>20.5761316872428</v>
      </c>
      <c r="BG88" s="47" t="n">
        <v>20.66115702479339</v>
      </c>
      <c r="BH88" s="47" t="n">
        <v>20</v>
      </c>
      <c r="BI88" s="78">
        <f>SUM(E88:BH88)</f>
        <v/>
      </c>
      <c r="BJ88" s="79">
        <f>BI88*Weekly_Prices_VND!BH88</f>
        <v/>
      </c>
    </row>
    <row r="89" ht="19" customHeight="1">
      <c r="A89" s="73" t="n">
        <v>88</v>
      </c>
      <c r="B89" s="44" t="inlineStr">
        <is>
          <t>ANV</t>
        </is>
      </c>
      <c r="C89" s="45" t="inlineStr">
        <is>
          <t>Bán Lẻ, Tiêu Dùng &amp; Thực Phẩm</t>
        </is>
      </c>
      <c r="D89" s="73" t="inlineStr">
        <is>
          <t>HOSE</t>
        </is>
      </c>
      <c r="E89" s="47" t="n">
        <v>64.1025641025641</v>
      </c>
      <c r="F89" s="47" t="n">
        <v>68.02721088435374</v>
      </c>
      <c r="G89" s="47" t="n">
        <v>67.56756756756756</v>
      </c>
      <c r="H89" s="47" t="n">
        <v>63.09148264984227</v>
      </c>
      <c r="I89" s="47" t="n">
        <v>60.97560975609756</v>
      </c>
      <c r="J89" s="47" t="n">
        <v>61.34969325153374</v>
      </c>
      <c r="K89" s="47" t="n">
        <v>61.16207951070336</v>
      </c>
      <c r="L89" s="47" t="n">
        <v>53.05039787798408</v>
      </c>
      <c r="M89" s="47" t="n">
        <v>44.24778761061947</v>
      </c>
      <c r="N89" s="47" t="n">
        <v>45.04504504504504</v>
      </c>
      <c r="O89" s="47" t="n">
        <v>43.47826086956522</v>
      </c>
      <c r="P89" s="47" t="n">
        <v>42.91845493562231</v>
      </c>
      <c r="Q89" s="47" t="n">
        <v>42.64392324093816</v>
      </c>
      <c r="R89" s="47" t="n">
        <v>35.97122302158273</v>
      </c>
      <c r="S89" s="47" t="n">
        <v>37.38317757009346</v>
      </c>
      <c r="T89" s="47" t="n">
        <v>38.38771593090211</v>
      </c>
      <c r="U89" s="47" t="n">
        <v>35.71428571428572</v>
      </c>
      <c r="V89" s="47" t="n">
        <v>36.29764065335753</v>
      </c>
      <c r="W89" s="47" t="n">
        <v>35.3356890459364</v>
      </c>
      <c r="X89" s="47" t="n">
        <v>36.16636528028933</v>
      </c>
      <c r="Y89" s="47" t="n">
        <v>35.52397868561279</v>
      </c>
      <c r="Z89" s="47" t="n">
        <v>34.66204506065858</v>
      </c>
      <c r="AA89" s="47" t="n">
        <v>30.58103975535168</v>
      </c>
      <c r="AB89" s="47" t="n">
        <v>32.6797385620915</v>
      </c>
      <c r="AC89" s="47" t="n">
        <v>33.00330033003301</v>
      </c>
      <c r="AD89" s="47" t="n">
        <v>32.6797385620915</v>
      </c>
      <c r="AE89" s="47" t="n">
        <v>36.76470588235294</v>
      </c>
      <c r="AF89" s="47" t="n">
        <v>35.2112676056338</v>
      </c>
      <c r="AG89" s="47" t="n">
        <v>32.89473684210526</v>
      </c>
      <c r="AH89" s="47" t="n">
        <v>34.18803418803419</v>
      </c>
      <c r="AI89" s="47" t="n">
        <v>35.27336860670194</v>
      </c>
      <c r="AJ89" s="47" t="n">
        <v>37.45318352059925</v>
      </c>
      <c r="AK89" s="47" t="n">
        <v>36.90036900369004</v>
      </c>
      <c r="AL89" s="47" t="n">
        <v>37.03703703703704</v>
      </c>
      <c r="AM89" s="47" t="n">
        <v>38.91050583657587</v>
      </c>
      <c r="AN89" s="47" t="n">
        <v>40.08016032064128</v>
      </c>
      <c r="AO89" s="47" t="n">
        <v>38.09523809523809</v>
      </c>
      <c r="AP89" s="47" t="n">
        <v>37.17472118959108</v>
      </c>
      <c r="AQ89" s="47" t="n">
        <v>35.02626970227671</v>
      </c>
      <c r="AR89" s="47" t="n">
        <v>36.63003663003663</v>
      </c>
      <c r="AS89" s="47" t="n">
        <v>37.73584905660378</v>
      </c>
      <c r="AT89" s="47" t="n">
        <v>37.73584905660378</v>
      </c>
      <c r="AU89" s="47" t="n">
        <v>36.96857670979667</v>
      </c>
      <c r="AV89" s="47" t="n">
        <v>40.56795131845842</v>
      </c>
      <c r="AW89" s="47" t="n">
        <v>41.66666666666666</v>
      </c>
      <c r="AX89" s="47" t="n">
        <v>43.38394793926247</v>
      </c>
      <c r="AY89" s="47" t="n">
        <v>42.64392324093816</v>
      </c>
      <c r="AZ89" s="47" t="n">
        <v>42.3728813559322</v>
      </c>
      <c r="BA89" s="47" t="n">
        <v>40.16064257028113</v>
      </c>
      <c r="BB89" s="47" t="n">
        <v>40</v>
      </c>
      <c r="BC89" s="47" t="n">
        <v>41.1522633744856</v>
      </c>
      <c r="BD89" s="47" t="n">
        <v>41.84100418410042</v>
      </c>
      <c r="BE89" s="47" t="n">
        <v>42.91845493562231</v>
      </c>
      <c r="BF89" s="47" t="n">
        <v>43.85964912280702</v>
      </c>
      <c r="BG89" s="47" t="n">
        <v>44.7427293064877</v>
      </c>
      <c r="BH89" s="47" t="n">
        <v>46.08294930875576</v>
      </c>
      <c r="BI89" s="78">
        <f>SUM(E89:BH89)</f>
        <v/>
      </c>
      <c r="BJ89" s="79">
        <f>BI89*Weekly_Prices_VND!BH89</f>
        <v/>
      </c>
    </row>
    <row r="90" ht="19" customHeight="1">
      <c r="A90" s="73" t="n">
        <v>89</v>
      </c>
      <c r="B90" s="44" t="inlineStr">
        <is>
          <t>FRT</t>
        </is>
      </c>
      <c r="C90" s="45" t="inlineStr">
        <is>
          <t>Bán Lẻ, Tiêu Dùng &amp; Thực Phẩm</t>
        </is>
      </c>
      <c r="D90" s="73" t="inlineStr">
        <is>
          <t>HOSE</t>
        </is>
      </c>
      <c r="E90" s="47" t="n">
        <v>7.697946993620928</v>
      </c>
      <c r="F90" s="47" t="n">
        <v>7.500000292968761</v>
      </c>
      <c r="G90" s="47" t="n">
        <v>7.973876086837754</v>
      </c>
      <c r="H90" s="47" t="n">
        <v>7.835820941206978</v>
      </c>
      <c r="I90" s="47" t="n">
        <v>7.8125</v>
      </c>
      <c r="J90" s="47" t="n">
        <v>7.457386570528524</v>
      </c>
      <c r="K90" s="47" t="n">
        <v>7.543103829292018</v>
      </c>
      <c r="L90" s="47" t="n">
        <v>7.521490308089644</v>
      </c>
      <c r="M90" s="47" t="n">
        <v>7.056451835195685</v>
      </c>
      <c r="N90" s="47" t="n">
        <v>7.14869258231552</v>
      </c>
      <c r="O90" s="47" t="n">
        <v>6.889763673570317</v>
      </c>
      <c r="P90" s="47" t="n">
        <v>6.704980742561951</v>
      </c>
      <c r="Q90" s="47" t="n">
        <v>6.787330556678824</v>
      </c>
      <c r="R90" s="47" t="n">
        <v>6.907894665831675</v>
      </c>
      <c r="S90" s="47" t="n">
        <v>7.337525965096765</v>
      </c>
      <c r="T90" s="47" t="n">
        <v>8.171206176001908</v>
      </c>
      <c r="U90" s="47" t="n">
        <v>7.948523869075641</v>
      </c>
      <c r="V90" s="47" t="n">
        <v>8.089368307548682</v>
      </c>
      <c r="W90" s="47" t="n">
        <v>8.145849396990771</v>
      </c>
      <c r="X90" s="47" t="n">
        <v>7.924528278524386</v>
      </c>
      <c r="Y90" s="47" t="n">
        <v>8.003048661349434</v>
      </c>
      <c r="Z90" s="47" t="n">
        <v>8.467742202234822</v>
      </c>
      <c r="AA90" s="47" t="n">
        <v>7.647487167158058</v>
      </c>
      <c r="AB90" s="47" t="n">
        <v>7.526881846889816</v>
      </c>
      <c r="AC90" s="47" t="n">
        <v>7.368421295013858</v>
      </c>
      <c r="AD90" s="47" t="n">
        <v>7.089803887162226</v>
      </c>
      <c r="AE90" s="47" t="n">
        <v>7.526881846889816</v>
      </c>
      <c r="AF90" s="47" t="n">
        <v>7.191780514050492</v>
      </c>
      <c r="AG90" s="47" t="n">
        <v>7.378777069158971</v>
      </c>
      <c r="AH90" s="47" t="n">
        <v>7.142857142857143</v>
      </c>
      <c r="AI90" s="47" t="n">
        <v>6.562499967956543</v>
      </c>
      <c r="AJ90" s="47" t="n">
        <v>7.500000292968761</v>
      </c>
      <c r="AK90" s="47" t="n">
        <v>7.291666547987198</v>
      </c>
      <c r="AL90" s="47" t="n">
        <v>7.281553674209408</v>
      </c>
      <c r="AM90" s="47" t="n">
        <v>7.023411334534849</v>
      </c>
      <c r="AN90" s="47" t="n">
        <v>7.317072891879844</v>
      </c>
      <c r="AO90" s="47" t="n">
        <v>6.774193582531217</v>
      </c>
      <c r="AP90" s="47" t="n">
        <v>6.91699636782036</v>
      </c>
      <c r="AQ90" s="47" t="n">
        <v>6.180105660493965</v>
      </c>
      <c r="AR90" s="47" t="n">
        <v>6.546134599573969</v>
      </c>
      <c r="AS90" s="47" t="n">
        <v>6.176470446312719</v>
      </c>
      <c r="AT90" s="47" t="n">
        <v>6.176470446312719</v>
      </c>
      <c r="AU90" s="47" t="n">
        <v>6.213017981250665</v>
      </c>
      <c r="AV90" s="47" t="n">
        <v>6.97211122826921</v>
      </c>
      <c r="AW90" s="47" t="n">
        <v>7.042253521126761</v>
      </c>
      <c r="AX90" s="47" t="n">
        <v>7.06594870739509</v>
      </c>
      <c r="AY90" s="47" t="n">
        <v>6.461538399408284</v>
      </c>
      <c r="AZ90" s="47" t="n">
        <v>6.907894665831675</v>
      </c>
      <c r="BA90" s="47" t="n">
        <v>6.907894665831675</v>
      </c>
      <c r="BB90" s="47" t="n">
        <v>6.903353163574845</v>
      </c>
      <c r="BC90" s="47" t="n">
        <v>7.266436025445697</v>
      </c>
      <c r="BD90" s="47" t="n">
        <v>7.046979681025071</v>
      </c>
      <c r="BE90" s="47" t="n">
        <v>7.241379505425094</v>
      </c>
      <c r="BF90" s="47" t="n">
        <v>7.835820941206978</v>
      </c>
      <c r="BG90" s="47" t="n">
        <v>8.12064950477361</v>
      </c>
      <c r="BH90" s="47" t="n">
        <v>8.064516129032258</v>
      </c>
      <c r="BI90" s="78">
        <f>SUM(E90:BH90)</f>
        <v/>
      </c>
      <c r="BJ90" s="79">
        <f>BI90*Weekly_Prices_VND!BH90</f>
        <v/>
      </c>
    </row>
    <row r="91" ht="19" customHeight="1">
      <c r="A91" s="73" t="n">
        <v>90</v>
      </c>
      <c r="B91" s="44" t="inlineStr">
        <is>
          <t>ASM</t>
        </is>
      </c>
      <c r="C91" s="45" t="inlineStr">
        <is>
          <t>Bán Lẻ, Tiêu Dùng &amp; Thực Phẩm</t>
        </is>
      </c>
      <c r="D91" s="73" t="inlineStr">
        <is>
          <t>HOSE</t>
        </is>
      </c>
      <c r="E91" s="47" t="n">
        <v>160.8187180423839</v>
      </c>
      <c r="F91" s="47" t="n">
        <v>152.5658817544391</v>
      </c>
      <c r="G91" s="47" t="n">
        <v>156.9186930542408</v>
      </c>
      <c r="H91" s="47" t="n">
        <v>148.2479774610956</v>
      </c>
      <c r="I91" s="47" t="n">
        <v>147.6510115500148</v>
      </c>
      <c r="J91" s="47" t="n">
        <v>154.2776956336098</v>
      </c>
      <c r="K91" s="47" t="n">
        <v>155.5869818974395</v>
      </c>
      <c r="L91" s="47" t="n">
        <v>151.7241358873365</v>
      </c>
      <c r="M91" s="47" t="n">
        <v>147.6510115500148</v>
      </c>
      <c r="N91" s="47" t="n">
        <v>142.4870502369821</v>
      </c>
      <c r="O91" s="47" t="n">
        <v>133.81995531276</v>
      </c>
      <c r="P91" s="47" t="n">
        <v>131.8944813236642</v>
      </c>
      <c r="Q91" s="47" t="n">
        <v>136.3073085542886</v>
      </c>
      <c r="R91" s="47" t="n">
        <v>126.146785458996</v>
      </c>
      <c r="S91" s="47" t="n">
        <v>121.8161696451949</v>
      </c>
      <c r="T91" s="47" t="n">
        <v>132.5301197022654</v>
      </c>
      <c r="U91" s="47" t="n">
        <v>132.5301197022654</v>
      </c>
      <c r="V91" s="47" t="n">
        <v>131.421745858322</v>
      </c>
      <c r="W91" s="47" t="n">
        <v>135.9703345660292</v>
      </c>
      <c r="X91" s="47" t="n">
        <v>131.7365254054018</v>
      </c>
      <c r="Y91" s="47" t="n">
        <v>122.2222195698303</v>
      </c>
      <c r="Z91" s="47" t="n">
        <v>125.4275975623685</v>
      </c>
      <c r="AA91" s="47" t="n">
        <v>132.9787234042553</v>
      </c>
      <c r="AB91" s="47" t="n">
        <v>141.0437235543018</v>
      </c>
      <c r="AC91" s="47" t="n">
        <v>147.0588235294118</v>
      </c>
      <c r="AD91" s="47" t="n">
        <v>141.8439716312057</v>
      </c>
      <c r="AE91" s="47" t="n">
        <v>146.1988304093567</v>
      </c>
      <c r="AF91" s="47" t="n">
        <v>145.1378809869376</v>
      </c>
      <c r="AG91" s="47" t="n">
        <v>141.643059490085</v>
      </c>
      <c r="AH91" s="47" t="n">
        <v>143.6781609195402</v>
      </c>
      <c r="AI91" s="47" t="n">
        <v>144.5086705202312</v>
      </c>
      <c r="AJ91" s="47" t="n">
        <v>151.5151515151515</v>
      </c>
      <c r="AK91" s="47" t="n">
        <v>151.9756838905775</v>
      </c>
      <c r="AL91" s="47" t="n">
        <v>153.3742331288344</v>
      </c>
      <c r="AM91" s="47" t="n">
        <v>155.2795031055901</v>
      </c>
      <c r="AN91" s="47" t="n">
        <v>156.7398119122257</v>
      </c>
      <c r="AO91" s="47" t="n">
        <v>155.5209953343701</v>
      </c>
      <c r="AP91" s="47" t="n">
        <v>156.7398119122257</v>
      </c>
      <c r="AQ91" s="47" t="n">
        <v>158.2278481012658</v>
      </c>
      <c r="AR91" s="47" t="n">
        <v>163.9344262295082</v>
      </c>
      <c r="AS91" s="47" t="n">
        <v>166.6666666666667</v>
      </c>
      <c r="AT91" s="47" t="n">
        <v>166.6666666666667</v>
      </c>
      <c r="AU91" s="47" t="n">
        <v>158.7301587301587</v>
      </c>
      <c r="AV91" s="47" t="n">
        <v>169.4915254237288</v>
      </c>
      <c r="AW91" s="47" t="n">
        <v>171.2328767123288</v>
      </c>
      <c r="AX91" s="47" t="n">
        <v>177.9359430604982</v>
      </c>
      <c r="AY91" s="47" t="n">
        <v>176.056338028169</v>
      </c>
      <c r="AZ91" s="47" t="n">
        <v>178.8908765652952</v>
      </c>
      <c r="BA91" s="47" t="n">
        <v>169.4915254237288</v>
      </c>
      <c r="BB91" s="47" t="n">
        <v>173.3102253032929</v>
      </c>
      <c r="BC91" s="47" t="n">
        <v>178.5714285714286</v>
      </c>
      <c r="BD91" s="47" t="n">
        <v>177.6198934280639</v>
      </c>
      <c r="BE91" s="47" t="n">
        <v>165.016501650165</v>
      </c>
      <c r="BF91" s="47" t="n">
        <v>166.3893510815308</v>
      </c>
      <c r="BG91" s="47" t="n">
        <v>170.9401709401709</v>
      </c>
      <c r="BH91" s="47" t="n">
        <v>170.9401709401709</v>
      </c>
      <c r="BI91" s="78">
        <f>SUM(E91:BH91)</f>
        <v/>
      </c>
      <c r="BJ91" s="79">
        <f>BI91*Weekly_Prices_VND!BH91</f>
        <v/>
      </c>
    </row>
    <row r="92" ht="19" customHeight="1">
      <c r="A92" s="73" t="n">
        <v>91</v>
      </c>
      <c r="B92" s="44" t="inlineStr">
        <is>
          <t>DBC</t>
        </is>
      </c>
      <c r="C92" s="45" t="inlineStr">
        <is>
          <t>Bán Lẻ, Tiêu Dùng &amp; Thực Phẩm</t>
        </is>
      </c>
      <c r="D92" s="73" t="inlineStr">
        <is>
          <t>HOSE</t>
        </is>
      </c>
      <c r="E92" s="47" t="n">
        <v>46.66666484375007</v>
      </c>
      <c r="F92" s="47" t="n">
        <v>44.33734973145594</v>
      </c>
      <c r="G92" s="47" t="n">
        <v>46.66666484375007</v>
      </c>
      <c r="H92" s="47" t="n">
        <v>45.67375840972537</v>
      </c>
      <c r="I92" s="47" t="n">
        <v>43.80952201672343</v>
      </c>
      <c r="J92" s="47" t="n">
        <v>42.09150380529391</v>
      </c>
      <c r="K92" s="47" t="n">
        <v>43.00500857160376</v>
      </c>
      <c r="L92" s="47" t="n">
        <v>40.37617663630962</v>
      </c>
      <c r="M92" s="47" t="n">
        <v>37.55101933048733</v>
      </c>
      <c r="N92" s="47" t="n">
        <v>38.39046188974349</v>
      </c>
      <c r="O92" s="47" t="n">
        <v>37.88235280190312</v>
      </c>
      <c r="P92" s="47" t="n">
        <v>37.55101933048733</v>
      </c>
      <c r="Q92" s="47" t="n">
        <v>38.33333258463543</v>
      </c>
      <c r="R92" s="47" t="n">
        <v>37.02479453589239</v>
      </c>
      <c r="S92" s="47" t="n">
        <v>35.84000071680001</v>
      </c>
      <c r="T92" s="47" t="n">
        <v>40.80145858839226</v>
      </c>
      <c r="U92" s="47" t="n">
        <v>40.57970968546525</v>
      </c>
      <c r="V92" s="47" t="n">
        <v>40</v>
      </c>
      <c r="W92" s="47" t="n">
        <v>38.09523809523809</v>
      </c>
      <c r="X92" s="47" t="n">
        <v>40.14336827635824</v>
      </c>
      <c r="Y92" s="47" t="n">
        <v>40.43321345254076</v>
      </c>
      <c r="Z92" s="47" t="n">
        <v>41.55844155844156</v>
      </c>
      <c r="AA92" s="47" t="n">
        <v>40.28777114279804</v>
      </c>
      <c r="AB92" s="47" t="n">
        <v>41.48148196159123</v>
      </c>
      <c r="AC92" s="47" t="n">
        <v>43.57976812669388</v>
      </c>
      <c r="AD92" s="47" t="n">
        <v>42.42424393078517</v>
      </c>
      <c r="AE92" s="47" t="n">
        <v>44.62151283312966</v>
      </c>
      <c r="AF92" s="47" t="n">
        <v>42.82982689221255</v>
      </c>
      <c r="AG92" s="47" t="n">
        <v>41.48148196159123</v>
      </c>
      <c r="AH92" s="47" t="n">
        <v>42.02626690931363</v>
      </c>
      <c r="AI92" s="47" t="n">
        <v>40.07155590259888</v>
      </c>
      <c r="AJ92" s="47" t="n">
        <v>42.10526315789474</v>
      </c>
      <c r="AK92" s="47" t="n">
        <v>40.14336827635824</v>
      </c>
      <c r="AL92" s="47" t="n">
        <v>40.65335660949736</v>
      </c>
      <c r="AM92" s="47" t="n">
        <v>41.40480687164526</v>
      </c>
      <c r="AN92" s="47" t="n">
        <v>43.07692411242606</v>
      </c>
      <c r="AO92" s="47" t="n">
        <v>40</v>
      </c>
      <c r="AP92" s="47" t="n">
        <v>39.78685745293708</v>
      </c>
      <c r="AQ92" s="47" t="n">
        <v>39.78685745293708</v>
      </c>
      <c r="AR92" s="47" t="n">
        <v>41.2523006013248</v>
      </c>
      <c r="AS92" s="47" t="n">
        <v>41.94756652498985</v>
      </c>
      <c r="AT92" s="47" t="n">
        <v>41.94756652498985</v>
      </c>
      <c r="AU92" s="47" t="n">
        <v>42.18455694227217</v>
      </c>
      <c r="AV92" s="47" t="n">
        <v>45.52845644127176</v>
      </c>
      <c r="AW92" s="47" t="n">
        <v>47.65957510185605</v>
      </c>
      <c r="AX92" s="47" t="n">
        <v>48.17204495317385</v>
      </c>
      <c r="AY92" s="47" t="n">
        <v>48.27586336950063</v>
      </c>
      <c r="AZ92" s="47" t="n">
        <v>49.12280769082795</v>
      </c>
      <c r="BA92" s="47" t="n">
        <v>48.17204495317385</v>
      </c>
      <c r="BB92" s="47" t="n">
        <v>48.06866759380361</v>
      </c>
      <c r="BC92" s="47" t="n">
        <v>49.01531862733366</v>
      </c>
      <c r="BD92" s="47" t="n">
        <v>49.55752006813385</v>
      </c>
      <c r="BE92" s="47" t="n">
        <v>49.77777916049386</v>
      </c>
      <c r="BF92" s="47" t="n">
        <v>49.66740782985343</v>
      </c>
      <c r="BG92" s="47" t="n">
        <v>51.61290322580645</v>
      </c>
      <c r="BH92" s="47" t="n">
        <v>52.09302552731216</v>
      </c>
      <c r="BI92" s="78">
        <f>SUM(E92:BH92)</f>
        <v/>
      </c>
      <c r="BJ92" s="79">
        <f>BI92*Weekly_Prices_VND!BH92</f>
        <v/>
      </c>
    </row>
    <row r="93" ht="19" customHeight="1">
      <c r="A93" s="73" t="n">
        <v>92</v>
      </c>
      <c r="B93" s="44" t="inlineStr">
        <is>
          <t>IDI</t>
        </is>
      </c>
      <c r="C93" s="45" t="inlineStr">
        <is>
          <t>Bán Lẻ, Tiêu Dùng &amp; Thực Phẩm</t>
        </is>
      </c>
      <c r="D93" s="73" t="inlineStr">
        <is>
          <t>HOSE</t>
        </is>
      </c>
      <c r="E93" s="47" t="n">
        <v>162.8664495114006</v>
      </c>
      <c r="F93" s="47" t="n">
        <v>158.7301587301587</v>
      </c>
      <c r="G93" s="47" t="n">
        <v>163.3986928104575</v>
      </c>
      <c r="H93" s="47" t="n">
        <v>152.20700152207</v>
      </c>
      <c r="I93" s="47" t="n">
        <v>149.2537313432836</v>
      </c>
      <c r="J93" s="47" t="n">
        <v>158.4786053882726</v>
      </c>
      <c r="K93" s="47" t="n">
        <v>159.2356687898089</v>
      </c>
      <c r="L93" s="47" t="n">
        <v>149.7005988023952</v>
      </c>
      <c r="M93" s="47" t="n">
        <v>141.643059490085</v>
      </c>
      <c r="N93" s="47" t="n">
        <v>140.0560224089636</v>
      </c>
      <c r="O93" s="47" t="n">
        <v>134.5895020188425</v>
      </c>
      <c r="P93" s="47" t="n">
        <v>135.1351351351351</v>
      </c>
      <c r="Q93" s="47" t="n">
        <v>133.8688085676037</v>
      </c>
      <c r="R93" s="47" t="n">
        <v>118.3431952662722</v>
      </c>
      <c r="S93" s="47" t="n">
        <v>109.8901098901099</v>
      </c>
      <c r="T93" s="47" t="n">
        <v>123.6093943139679</v>
      </c>
      <c r="U93" s="47" t="n">
        <v>121.2121212121212</v>
      </c>
      <c r="V93" s="47" t="n">
        <v>120.7729468599034</v>
      </c>
      <c r="W93" s="47" t="n">
        <v>124.2236024844721</v>
      </c>
      <c r="X93" s="47" t="n">
        <v>118.4834123222749</v>
      </c>
      <c r="Y93" s="47" t="n">
        <v>117.7856301531213</v>
      </c>
      <c r="Z93" s="47" t="n">
        <v>124.53300124533</v>
      </c>
      <c r="AA93" s="47" t="n">
        <v>123.3045622688039</v>
      </c>
      <c r="AB93" s="47" t="n">
        <v>130.8900523560209</v>
      </c>
      <c r="AC93" s="47" t="n">
        <v>140.0560224089636</v>
      </c>
      <c r="AD93" s="47" t="n">
        <v>134.2281879194631</v>
      </c>
      <c r="AE93" s="47" t="n">
        <v>141.0437235543018</v>
      </c>
      <c r="AF93" s="47" t="n">
        <v>136.986301369863</v>
      </c>
      <c r="AG93" s="47" t="n">
        <v>135.8695652173913</v>
      </c>
      <c r="AH93" s="47" t="n">
        <v>138.8888888888889</v>
      </c>
      <c r="AI93" s="47" t="n">
        <v>137.7410468319559</v>
      </c>
      <c r="AJ93" s="47" t="n">
        <v>142.8571428571429</v>
      </c>
      <c r="AK93" s="47" t="n">
        <v>145.5604075691412</v>
      </c>
      <c r="AL93" s="47" t="n">
        <v>145.7725947521866</v>
      </c>
      <c r="AM93" s="47" t="n">
        <v>147.2754050073638</v>
      </c>
      <c r="AN93" s="47" t="n">
        <v>155.7632398753894</v>
      </c>
      <c r="AO93" s="47" t="n">
        <v>147.0588235294118</v>
      </c>
      <c r="AP93" s="47" t="n">
        <v>147.4926253687316</v>
      </c>
      <c r="AQ93" s="47" t="n">
        <v>146.1988304093567</v>
      </c>
      <c r="AR93" s="47" t="n">
        <v>147.2754050073638</v>
      </c>
      <c r="AS93" s="47" t="n">
        <v>146.1988304093567</v>
      </c>
      <c r="AT93" s="47" t="n">
        <v>146.1988304093567</v>
      </c>
      <c r="AU93" s="47" t="n">
        <v>138.3125864453665</v>
      </c>
      <c r="AV93" s="47" t="n">
        <v>141.643059490085</v>
      </c>
      <c r="AW93" s="47" t="n">
        <v>135.31799729364</v>
      </c>
      <c r="AX93" s="47" t="n">
        <v>145.7725947521866</v>
      </c>
      <c r="AY93" s="47" t="n">
        <v>144.9275362318841</v>
      </c>
      <c r="AZ93" s="47" t="n">
        <v>151.285930408472</v>
      </c>
      <c r="BA93" s="47" t="n">
        <v>149.9250374812594</v>
      </c>
      <c r="BB93" s="47" t="n">
        <v>150.375939849624</v>
      </c>
      <c r="BC93" s="47" t="n">
        <v>155.0387596899225</v>
      </c>
      <c r="BD93" s="47" t="n">
        <v>156.4945226917058</v>
      </c>
      <c r="BE93" s="47" t="n">
        <v>159.4896331738437</v>
      </c>
      <c r="BF93" s="47" t="n">
        <v>169.2047377326565</v>
      </c>
      <c r="BG93" s="47" t="n">
        <v>173.9130434782609</v>
      </c>
      <c r="BH93" s="47" t="n">
        <v>175.1313485113835</v>
      </c>
      <c r="BI93" s="78">
        <f>SUM(E93:BH93)</f>
        <v/>
      </c>
      <c r="BJ93" s="79">
        <f>BI93*Weekly_Prices_VND!BH93</f>
        <v/>
      </c>
    </row>
    <row r="94" ht="19" customHeight="1">
      <c r="A94" s="73" t="n">
        <v>93</v>
      </c>
      <c r="B94" s="44" t="inlineStr">
        <is>
          <t>TCM</t>
        </is>
      </c>
      <c r="C94" s="45" t="inlineStr">
        <is>
          <t>Bán Lẻ, Tiêu Dùng &amp; Thực Phẩm</t>
        </is>
      </c>
      <c r="D94" s="73" t="inlineStr">
        <is>
          <t>HOSE</t>
        </is>
      </c>
      <c r="E94" s="47" t="n">
        <v>38.05601265302958</v>
      </c>
      <c r="F94" s="47" t="n">
        <v>37.01923170778176</v>
      </c>
      <c r="G94" s="47" t="n">
        <v>38.30845715307558</v>
      </c>
      <c r="H94" s="47" t="n">
        <v>33.42981185741062</v>
      </c>
      <c r="I94" s="47" t="n">
        <v>34.84162880531662</v>
      </c>
      <c r="J94" s="47" t="n">
        <v>35.65365013644136</v>
      </c>
      <c r="K94" s="47" t="n">
        <v>36.20689752712547</v>
      </c>
      <c r="L94" s="47" t="n">
        <v>33.98058155774287</v>
      </c>
      <c r="M94" s="47" t="n">
        <v>32.812498998642</v>
      </c>
      <c r="N94" s="47" t="n">
        <v>33.17535514314874</v>
      </c>
      <c r="O94" s="47" t="n">
        <v>33.01886731613231</v>
      </c>
      <c r="P94" s="47" t="n">
        <v>32.60869634444413</v>
      </c>
      <c r="Q94" s="47" t="n">
        <v>32.0610683198823</v>
      </c>
      <c r="R94" s="47" t="n">
        <v>31.43712611617148</v>
      </c>
      <c r="S94" s="47" t="n">
        <v>32.55814012641969</v>
      </c>
      <c r="T94" s="47" t="n">
        <v>35.3535346560619</v>
      </c>
      <c r="U94" s="47" t="n">
        <v>34.94176463554921</v>
      </c>
      <c r="V94" s="47" t="n">
        <v>34.53947379516433</v>
      </c>
      <c r="W94" s="47" t="n">
        <v>35.00000102539065</v>
      </c>
      <c r="X94" s="47" t="n">
        <v>33.76205872593596</v>
      </c>
      <c r="Y94" s="47" t="n">
        <v>34.53947379516433</v>
      </c>
      <c r="Z94" s="47" t="n">
        <v>35.41315287380848</v>
      </c>
      <c r="AA94" s="47" t="n">
        <v>35.77512788734803</v>
      </c>
      <c r="AB94" s="47" t="n">
        <v>36.45833222071333</v>
      </c>
      <c r="AC94" s="47" t="n">
        <v>37.56708512877586</v>
      </c>
      <c r="AD94" s="47" t="n">
        <v>36.8421048844356</v>
      </c>
      <c r="AE94" s="47" t="n">
        <v>37.63440978771033</v>
      </c>
      <c r="AF94" s="47" t="n">
        <v>36.33218115849985</v>
      </c>
      <c r="AG94" s="47" t="n">
        <v>36.8421048844356</v>
      </c>
      <c r="AH94" s="47" t="n">
        <v>37.23404294001458</v>
      </c>
      <c r="AI94" s="47" t="n">
        <v>37.76978284587937</v>
      </c>
      <c r="AJ94" s="47" t="n">
        <v>39.47368319609161</v>
      </c>
      <c r="AK94" s="47" t="n">
        <v>39.25233501561277</v>
      </c>
      <c r="AL94" s="47" t="n">
        <v>39.62264077935877</v>
      </c>
      <c r="AM94" s="47" t="n">
        <v>39.47368319609161</v>
      </c>
      <c r="AN94" s="47" t="n">
        <v>38.74538801235857</v>
      </c>
      <c r="AO94" s="47" t="n">
        <v>37.63440978771033</v>
      </c>
      <c r="AP94" s="47" t="n">
        <v>38.60294145366313</v>
      </c>
      <c r="AQ94" s="47" t="n">
        <v>39.32584140210757</v>
      </c>
      <c r="AR94" s="47" t="n">
        <v>39.62264077935877</v>
      </c>
      <c r="AS94" s="47" t="n">
        <v>39.92395422437933</v>
      </c>
      <c r="AT94" s="47" t="n">
        <v>39.92395422437933</v>
      </c>
      <c r="AU94" s="47" t="n">
        <v>39.32584140210757</v>
      </c>
      <c r="AV94" s="47" t="n">
        <v>41.1764696420848</v>
      </c>
      <c r="AW94" s="47" t="n">
        <v>44.58598559715917</v>
      </c>
      <c r="AX94" s="47" t="n">
        <v>44.96787914531168</v>
      </c>
      <c r="AY94" s="47" t="n">
        <v>45.16128975351197</v>
      </c>
      <c r="AZ94" s="47" t="n">
        <v>46.56319088816559</v>
      </c>
      <c r="BA94" s="47" t="n">
        <v>46.35761769289183</v>
      </c>
      <c r="BB94" s="47" t="n">
        <v>44.49152358267994</v>
      </c>
      <c r="BC94" s="47" t="n">
        <v>45.75163457097164</v>
      </c>
      <c r="BD94" s="47" t="n">
        <v>45.75163457097164</v>
      </c>
      <c r="BE94" s="47" t="n">
        <v>45.85152916640845</v>
      </c>
      <c r="BF94" s="47" t="n">
        <v>45.55314552922123</v>
      </c>
      <c r="BG94" s="47" t="n">
        <v>45.85152916640845</v>
      </c>
      <c r="BH94" s="47" t="n">
        <v>47.96163069544365</v>
      </c>
      <c r="BI94" s="78">
        <f>SUM(E94:BH94)</f>
        <v/>
      </c>
      <c r="BJ94" s="79">
        <f>BI94*Weekly_Prices_VND!BH94</f>
        <v/>
      </c>
    </row>
    <row r="95" ht="19" customHeight="1">
      <c r="A95" s="74" t="n">
        <v>94</v>
      </c>
      <c r="B95" s="50" t="inlineStr">
        <is>
          <t>NT2</t>
        </is>
      </c>
      <c r="C95" s="51" t="inlineStr">
        <is>
          <t>Công Nghệ, Năng Lượng &amp; Tiện Ích</t>
        </is>
      </c>
      <c r="D95" s="74" t="inlineStr">
        <is>
          <t>HOSE</t>
        </is>
      </c>
      <c r="E95" s="53" t="n">
        <v>53.47593582887701</v>
      </c>
      <c r="F95" s="53" t="n">
        <v>54.34782608695652</v>
      </c>
      <c r="G95" s="53" t="n">
        <v>54.34782608695652</v>
      </c>
      <c r="H95" s="53" t="n">
        <v>54.05405405405406</v>
      </c>
      <c r="I95" s="53" t="n">
        <v>53.90835579514825</v>
      </c>
      <c r="J95" s="53" t="n">
        <v>55.24861878453039</v>
      </c>
      <c r="K95" s="53" t="n">
        <v>54.6448087431694</v>
      </c>
      <c r="L95" s="53" t="n">
        <v>52.08333333333334</v>
      </c>
      <c r="M95" s="53" t="n">
        <v>52.63157894736842</v>
      </c>
      <c r="N95" s="53" t="n">
        <v>50.76142131979695</v>
      </c>
      <c r="O95" s="53" t="n">
        <v>50.50505050505051</v>
      </c>
      <c r="P95" s="53" t="n">
        <v>48.54368932038835</v>
      </c>
      <c r="Q95" s="53" t="n">
        <v>49.50495049504951</v>
      </c>
      <c r="R95" s="53" t="n">
        <v>45.662100456621</v>
      </c>
      <c r="S95" s="53" t="n">
        <v>45.87155963302752</v>
      </c>
      <c r="T95" s="53" t="n">
        <v>46.72897196261682</v>
      </c>
      <c r="U95" s="53" t="n">
        <v>45.04504504504504</v>
      </c>
      <c r="V95" s="53" t="n">
        <v>44.15011037527594</v>
      </c>
      <c r="W95" s="53" t="n">
        <v>46.2962962962963</v>
      </c>
      <c r="X95" s="53" t="n">
        <v>43.95604395604396</v>
      </c>
      <c r="Y95" s="53" t="n">
        <v>40.98360655737705</v>
      </c>
      <c r="Z95" s="53" t="n">
        <v>42.3728813559322</v>
      </c>
      <c r="AA95" s="53" t="n">
        <v>42.91845493562231</v>
      </c>
      <c r="AB95" s="53" t="n">
        <v>43.95604395604396</v>
      </c>
      <c r="AC95" s="53" t="n">
        <v>43.95604395604396</v>
      </c>
      <c r="AD95" s="53" t="n">
        <v>39.68253968253968</v>
      </c>
      <c r="AE95" s="53" t="n">
        <v>43.38394793926247</v>
      </c>
      <c r="AF95" s="53" t="n">
        <v>41.23711340206186</v>
      </c>
      <c r="AG95" s="53" t="n">
        <v>41.84100418410042</v>
      </c>
      <c r="AH95" s="53" t="n">
        <v>42.91845493562231</v>
      </c>
      <c r="AI95" s="53" t="n">
        <v>41.9287211740042</v>
      </c>
      <c r="AJ95" s="53" t="n">
        <v>44.34589800443459</v>
      </c>
      <c r="AK95" s="53" t="n">
        <v>41.32231404958678</v>
      </c>
      <c r="AL95" s="53" t="n">
        <v>41.40786749482402</v>
      </c>
      <c r="AM95" s="53" t="n">
        <v>41.06776180698152</v>
      </c>
      <c r="AN95" s="53" t="n">
        <v>40.98360655737705</v>
      </c>
      <c r="AO95" s="53" t="n">
        <v>38.53564547206166</v>
      </c>
      <c r="AP95" s="53" t="n">
        <v>38.38771593090211</v>
      </c>
      <c r="AQ95" s="53" t="n">
        <v>38.02281368821293</v>
      </c>
      <c r="AR95" s="53" t="n">
        <v>37.38317757009346</v>
      </c>
      <c r="AS95" s="53" t="n">
        <v>36.69724770642202</v>
      </c>
      <c r="AT95" s="53" t="n">
        <v>36.69724770642202</v>
      </c>
      <c r="AU95" s="53" t="n">
        <v>36.03603603603604</v>
      </c>
      <c r="AV95" s="53" t="n">
        <v>36.16636528028933</v>
      </c>
      <c r="AW95" s="53" t="n">
        <v>37.5234521575985</v>
      </c>
      <c r="AX95" s="53" t="n">
        <v>38.53564547206166</v>
      </c>
      <c r="AY95" s="53" t="n">
        <v>35.84229390681003</v>
      </c>
      <c r="AZ95" s="53" t="n">
        <v>38.46153846153846</v>
      </c>
      <c r="BA95" s="53" t="n">
        <v>38.16793893129771</v>
      </c>
      <c r="BB95" s="53" t="n">
        <v>38.46153846153846</v>
      </c>
      <c r="BC95" s="53" t="n">
        <v>40.32258064516129</v>
      </c>
      <c r="BD95" s="53" t="n">
        <v>41.32231404958678</v>
      </c>
      <c r="BE95" s="53" t="n">
        <v>43.47826086956522</v>
      </c>
      <c r="BF95" s="53" t="n">
        <v>43.10344827586207</v>
      </c>
      <c r="BG95" s="53" t="n">
        <v>43.95604395604396</v>
      </c>
      <c r="BH95" s="53" t="n">
        <v>43.47826086956522</v>
      </c>
      <c r="BI95" s="78">
        <f>SUM(E95:BH95)</f>
        <v/>
      </c>
      <c r="BJ95" s="79">
        <f>BI95*Weekly_Prices_VND!BH95</f>
        <v/>
      </c>
    </row>
    <row r="96" ht="19" customHeight="1">
      <c r="A96" s="74" t="n">
        <v>95</v>
      </c>
      <c r="B96" s="50" t="inlineStr">
        <is>
          <t>CTR</t>
        </is>
      </c>
      <c r="C96" s="51" t="inlineStr">
        <is>
          <t>Công Nghệ, Năng Lượng &amp; Tiện Ích</t>
        </is>
      </c>
      <c r="D96" s="74" t="inlineStr">
        <is>
          <t>HOSE</t>
        </is>
      </c>
      <c r="E96" s="53" t="n">
        <v>12.54199363219467</v>
      </c>
      <c r="F96" s="53" t="n">
        <v>11.66666621093752</v>
      </c>
      <c r="G96" s="53" t="n">
        <v>12.34840166340688</v>
      </c>
      <c r="H96" s="53" t="n">
        <v>11.99143436853762</v>
      </c>
      <c r="I96" s="53" t="n">
        <v>12.29418171127134</v>
      </c>
      <c r="J96" s="53" t="n">
        <v>11.66666621093752</v>
      </c>
      <c r="K96" s="53" t="n">
        <v>11.25628098280348</v>
      </c>
      <c r="L96" s="53" t="n">
        <v>11.44024558632197</v>
      </c>
      <c r="M96" s="53" t="n">
        <v>11.14427888418604</v>
      </c>
      <c r="N96" s="53" t="n">
        <v>10.93750013351441</v>
      </c>
      <c r="O96" s="53" t="n">
        <v>11.00196436635648</v>
      </c>
      <c r="P96" s="53" t="n">
        <v>11.38211411031794</v>
      </c>
      <c r="Q96" s="53" t="n">
        <v>12.4031007751938</v>
      </c>
      <c r="R96" s="53" t="n">
        <v>12.08198457168326</v>
      </c>
      <c r="S96" s="53" t="n">
        <v>11.97860994595214</v>
      </c>
      <c r="T96" s="53" t="n">
        <v>12.5</v>
      </c>
      <c r="U96" s="53" t="n">
        <v>12.6984126984127</v>
      </c>
      <c r="V96" s="53" t="n">
        <v>12.2004352314637</v>
      </c>
      <c r="W96" s="53" t="n">
        <v>12.81464585875197</v>
      </c>
      <c r="X96" s="53" t="n">
        <v>12.30769230769231</v>
      </c>
      <c r="Y96" s="53" t="n">
        <v>12.37569077866976</v>
      </c>
      <c r="Z96" s="53" t="n">
        <v>13.34922586483429</v>
      </c>
      <c r="AA96" s="53" t="n">
        <v>13.51025290982349</v>
      </c>
      <c r="AB96" s="53" t="n">
        <v>13.7592139705039</v>
      </c>
      <c r="AC96" s="53" t="n">
        <v>13.17647020069205</v>
      </c>
      <c r="AD96" s="53" t="n">
        <v>11.91489377546401</v>
      </c>
      <c r="AE96" s="53" t="n">
        <v>12.54199363219467</v>
      </c>
      <c r="AF96" s="53" t="n">
        <v>12.09503256067809</v>
      </c>
      <c r="AG96" s="53" t="n">
        <v>12.4031007751938</v>
      </c>
      <c r="AH96" s="53" t="n">
        <v>12.96296258787724</v>
      </c>
      <c r="AI96" s="53" t="n">
        <v>12.94797725283171</v>
      </c>
      <c r="AJ96" s="53" t="n">
        <v>13.52657025251465</v>
      </c>
      <c r="AK96" s="53" t="n">
        <v>13.38112345821755</v>
      </c>
      <c r="AL96" s="53" t="n">
        <v>13.33333333333333</v>
      </c>
      <c r="AM96" s="53" t="n">
        <v>13.13012953385681</v>
      </c>
      <c r="AN96" s="53" t="n">
        <v>11.67883211678832</v>
      </c>
      <c r="AO96" s="53" t="n">
        <v>10.91617960322075</v>
      </c>
      <c r="AP96" s="53" t="n">
        <v>11.66666621093752</v>
      </c>
      <c r="AQ96" s="53" t="n">
        <v>11.58221258083457</v>
      </c>
      <c r="AR96" s="53" t="n">
        <v>11.91489377546401</v>
      </c>
      <c r="AS96" s="53" t="n">
        <v>12.05597400355256</v>
      </c>
      <c r="AT96" s="53" t="n">
        <v>12.05597400355256</v>
      </c>
      <c r="AU96" s="53" t="n">
        <v>11.7523605029239</v>
      </c>
      <c r="AV96" s="53" t="n">
        <v>13.25443767375092</v>
      </c>
      <c r="AW96" s="53" t="n">
        <v>13.74233086679967</v>
      </c>
      <c r="AX96" s="53" t="n">
        <v>14.00000021875</v>
      </c>
      <c r="AY96" s="53" t="n">
        <v>13.08411234059743</v>
      </c>
      <c r="AZ96" s="53" t="n">
        <v>13.19199077137796</v>
      </c>
      <c r="BA96" s="53" t="n">
        <v>13.08411234059743</v>
      </c>
      <c r="BB96" s="53" t="n">
        <v>12.84403706548271</v>
      </c>
      <c r="BC96" s="53" t="n">
        <v>12.84403706548271</v>
      </c>
      <c r="BD96" s="53" t="n">
        <v>13.03841657394621</v>
      </c>
      <c r="BE96" s="53" t="n">
        <v>13.42925599089077</v>
      </c>
      <c r="BF96" s="53" t="n">
        <v>13.19199077137796</v>
      </c>
      <c r="BG96" s="53" t="n">
        <v>12.04301123829346</v>
      </c>
      <c r="BH96" s="53" t="n">
        <v>12.65536687414218</v>
      </c>
      <c r="BI96" s="78">
        <f>SUM(E96:BH96)</f>
        <v/>
      </c>
      <c r="BJ96" s="79">
        <f>BI96*Weekly_Prices_VND!BH96</f>
        <v/>
      </c>
    </row>
    <row r="97" ht="19" customHeight="1">
      <c r="A97" s="74" t="n">
        <v>96</v>
      </c>
      <c r="B97" s="50" t="inlineStr">
        <is>
          <t>REE</t>
        </is>
      </c>
      <c r="C97" s="51" t="inlineStr">
        <is>
          <t>Công Nghệ, Năng Lượng &amp; Tiện Ích</t>
        </is>
      </c>
      <c r="D97" s="74" t="inlineStr">
        <is>
          <t>HOSE</t>
        </is>
      </c>
      <c r="E97" s="53" t="n">
        <v>18.97417459190516</v>
      </c>
      <c r="F97" s="53" t="n">
        <v>18.6267609656142</v>
      </c>
      <c r="G97" s="53" t="n">
        <v>18.7322948714928</v>
      </c>
      <c r="H97" s="53" t="n">
        <v>18.52240951079422</v>
      </c>
      <c r="I97" s="53" t="n">
        <v>17.10866730432095</v>
      </c>
      <c r="J97" s="53" t="n">
        <v>17.03703698774006</v>
      </c>
      <c r="K97" s="53" t="n">
        <v>16.66666666666667</v>
      </c>
      <c r="L97" s="53" t="n">
        <v>17.03703698774006</v>
      </c>
      <c r="M97" s="53" t="n">
        <v>17.18983527437462</v>
      </c>
      <c r="N97" s="53" t="n">
        <v>17.03703698774006</v>
      </c>
      <c r="O97" s="53" t="n">
        <v>16.9117650459052</v>
      </c>
      <c r="P97" s="53" t="n">
        <v>16.57060570030131</v>
      </c>
      <c r="Q97" s="53" t="n">
        <v>17.21556871126875</v>
      </c>
      <c r="R97" s="53" t="n">
        <v>17.18983527437462</v>
      </c>
      <c r="S97" s="53" t="n">
        <v>16.81286525703489</v>
      </c>
      <c r="T97" s="53" t="n">
        <v>17.39788173993769</v>
      </c>
      <c r="U97" s="53" t="n">
        <v>17.53048832681761</v>
      </c>
      <c r="V97" s="53" t="n">
        <v>17.58409749173152</v>
      </c>
      <c r="W97" s="53" t="n">
        <v>17.31927756692835</v>
      </c>
      <c r="X97" s="53" t="n">
        <v>17.24137931034483</v>
      </c>
      <c r="Y97" s="53" t="n">
        <v>17.01183412292167</v>
      </c>
      <c r="Z97" s="53" t="n">
        <v>17.63803675697962</v>
      </c>
      <c r="AA97" s="53" t="n">
        <v>17.80185726220509</v>
      </c>
      <c r="AB97" s="53" t="n">
        <v>18.02507809400289</v>
      </c>
      <c r="AC97" s="53" t="n">
        <v>18.51851851851852</v>
      </c>
      <c r="AD97" s="53" t="n">
        <v>17.66513067435394</v>
      </c>
      <c r="AE97" s="53" t="n">
        <v>17.80185726220509</v>
      </c>
      <c r="AF97" s="53" t="n">
        <v>17.31927756692835</v>
      </c>
      <c r="AG97" s="53" t="n">
        <v>17.16417865415809</v>
      </c>
      <c r="AH97" s="53" t="n">
        <v>17.63803675697962</v>
      </c>
      <c r="AI97" s="53" t="n">
        <v>17.91277291264067</v>
      </c>
      <c r="AJ97" s="53" t="n">
        <v>18.45906867364814</v>
      </c>
      <c r="AK97" s="53" t="n">
        <v>18.57835253265762</v>
      </c>
      <c r="AL97" s="53" t="n">
        <v>18.7601958183377</v>
      </c>
      <c r="AM97" s="53" t="n">
        <v>18.85245962001984</v>
      </c>
      <c r="AN97" s="53" t="n">
        <v>18.85245962001984</v>
      </c>
      <c r="AO97" s="53" t="n">
        <v>18.05337508552434</v>
      </c>
      <c r="AP97" s="53" t="n">
        <v>18.31210202473192</v>
      </c>
      <c r="AQ97" s="53" t="n">
        <v>18.51851851851852</v>
      </c>
      <c r="AR97" s="53" t="n">
        <v>18.7601958183377</v>
      </c>
      <c r="AS97" s="53" t="n">
        <v>18.66883069529143</v>
      </c>
      <c r="AT97" s="53" t="n">
        <v>18.66883069529143</v>
      </c>
      <c r="AU97" s="53" t="n">
        <v>18.60841476877191</v>
      </c>
      <c r="AV97" s="53" t="n">
        <v>18.54838727206767</v>
      </c>
      <c r="AW97" s="53" t="n">
        <v>18.02507809400289</v>
      </c>
      <c r="AX97" s="53" t="n">
        <v>17.06231463894609</v>
      </c>
      <c r="AY97" s="53" t="n">
        <v>16.0390520845035</v>
      </c>
      <c r="AZ97" s="53" t="n">
        <v>17.85714285714286</v>
      </c>
      <c r="BA97" s="53" t="n">
        <v>17.47720385492501</v>
      </c>
      <c r="BB97" s="53" t="n">
        <v>17.85714285714286</v>
      </c>
      <c r="BC97" s="53" t="n">
        <v>18.45906867364814</v>
      </c>
      <c r="BD97" s="53" t="n">
        <v>19.07131061026406</v>
      </c>
      <c r="BE97" s="53" t="n">
        <v>18.85245962001984</v>
      </c>
      <c r="BF97" s="53" t="n">
        <v>19.07131061026406</v>
      </c>
      <c r="BG97" s="53" t="n">
        <v>19.01140684410646</v>
      </c>
      <c r="BH97" s="53" t="n">
        <v>18.9753320683112</v>
      </c>
      <c r="BI97" s="78">
        <f>SUM(E97:BH97)</f>
        <v/>
      </c>
      <c r="BJ97" s="79">
        <f>BI97*Weekly_Prices_VND!BH97</f>
        <v/>
      </c>
    </row>
    <row r="98" ht="19" customHeight="1">
      <c r="A98" s="74" t="n">
        <v>97</v>
      </c>
      <c r="B98" s="50" t="inlineStr">
        <is>
          <t>GEG</t>
        </is>
      </c>
      <c r="C98" s="51" t="inlineStr">
        <is>
          <t>Công Nghệ, Năng Lượng &amp; Tiện Ích</t>
        </is>
      </c>
      <c r="D98" s="74" t="inlineStr">
        <is>
          <t>HOSE</t>
        </is>
      </c>
      <c r="E98" s="53" t="n">
        <v>67.74193761787858</v>
      </c>
      <c r="F98" s="53" t="n">
        <v>67.96116311548573</v>
      </c>
      <c r="G98" s="53" t="n">
        <v>66.45569579178392</v>
      </c>
      <c r="H98" s="53" t="n">
        <v>67.30769357173403</v>
      </c>
      <c r="I98" s="53" t="n">
        <v>62.5</v>
      </c>
      <c r="J98" s="53" t="n">
        <v>65.21739268888827</v>
      </c>
      <c r="K98" s="53" t="n">
        <v>64.41717772114295</v>
      </c>
      <c r="L98" s="53" t="n">
        <v>64.61538480954142</v>
      </c>
      <c r="M98" s="53" t="n">
        <v>66.2460559660137</v>
      </c>
      <c r="N98" s="53" t="n">
        <v>64.02438929079547</v>
      </c>
      <c r="O98" s="53" t="n">
        <v>62.87425223234295</v>
      </c>
      <c r="P98" s="53" t="n">
        <v>60.86956211602095</v>
      </c>
      <c r="Q98" s="53" t="n">
        <v>63.63636194150315</v>
      </c>
      <c r="R98" s="53" t="n">
        <v>60.69363819242017</v>
      </c>
      <c r="S98" s="53" t="n">
        <v>60.69363819242017</v>
      </c>
      <c r="T98" s="53" t="n">
        <v>67.09265259450694</v>
      </c>
      <c r="U98" s="53" t="n">
        <v>66.45569579178392</v>
      </c>
      <c r="V98" s="53" t="n">
        <v>65.42056253889537</v>
      </c>
      <c r="W98" s="53" t="n">
        <v>66.66666666666667</v>
      </c>
      <c r="X98" s="53" t="n">
        <v>64.02438929079547</v>
      </c>
      <c r="Y98" s="53" t="n">
        <v>64.41717772114295</v>
      </c>
      <c r="Z98" s="53" t="n">
        <v>65.21739268888827</v>
      </c>
      <c r="AA98" s="53" t="n">
        <v>66.2460559660137</v>
      </c>
      <c r="AB98" s="53" t="n">
        <v>66.8789813077166</v>
      </c>
      <c r="AC98" s="53" t="n">
        <v>69.07894759032865</v>
      </c>
      <c r="AD98" s="53" t="n">
        <v>65.83071939090127</v>
      </c>
      <c r="AE98" s="53" t="n">
        <v>70.0000020507813</v>
      </c>
      <c r="AF98" s="53" t="n">
        <v>69.53642496534214</v>
      </c>
      <c r="AG98" s="53" t="n">
        <v>70.70706931212379</v>
      </c>
      <c r="AH98" s="53" t="n">
        <v>73.42657217297838</v>
      </c>
      <c r="AI98" s="53" t="n">
        <v>73.17072996449291</v>
      </c>
      <c r="AJ98" s="53" t="n">
        <v>75.26881957542065</v>
      </c>
      <c r="AK98" s="53" t="n">
        <v>73.94366171756829</v>
      </c>
      <c r="AL98" s="53" t="n">
        <v>71.42857142857143</v>
      </c>
      <c r="AM98" s="53" t="n">
        <v>68.18181666854989</v>
      </c>
      <c r="AN98" s="53" t="n">
        <v>72.41379505425094</v>
      </c>
      <c r="AO98" s="53" t="n">
        <v>69.76744344493649</v>
      </c>
      <c r="AP98" s="53" t="n">
        <v>70.0000020507813</v>
      </c>
      <c r="AQ98" s="53" t="n">
        <v>71.18644020665758</v>
      </c>
      <c r="AR98" s="53" t="n">
        <v>71.91780918126351</v>
      </c>
      <c r="AS98" s="53" t="n">
        <v>72.16494990667184</v>
      </c>
      <c r="AT98" s="53" t="n">
        <v>72.16494990667184</v>
      </c>
      <c r="AU98" s="53" t="n">
        <v>70.70706931212379</v>
      </c>
      <c r="AV98" s="53" t="n">
        <v>68.40390770682913</v>
      </c>
      <c r="AW98" s="53" t="n">
        <v>62.68656752965583</v>
      </c>
      <c r="AX98" s="53" t="n">
        <v>63.25301353663906</v>
      </c>
      <c r="AY98" s="53" t="n">
        <v>61.94690158415892</v>
      </c>
      <c r="AZ98" s="53" t="n">
        <v>66.2460559660137</v>
      </c>
      <c r="BA98" s="53" t="n">
        <v>69.07894759032865</v>
      </c>
      <c r="BB98" s="53" t="n">
        <v>68.6274503233432</v>
      </c>
      <c r="BC98" s="53" t="n">
        <v>71.91780918126351</v>
      </c>
      <c r="BD98" s="53" t="n">
        <v>73.42657217297838</v>
      </c>
      <c r="BE98" s="53" t="n">
        <v>73.42657217297838</v>
      </c>
      <c r="BF98" s="53" t="n">
        <v>74.20494725252922</v>
      </c>
      <c r="BG98" s="53" t="n">
        <v>74.46808588002915</v>
      </c>
      <c r="BH98" s="53" t="n">
        <v>74.73309738401318</v>
      </c>
      <c r="BI98" s="78">
        <f>SUM(E98:BH98)</f>
        <v/>
      </c>
      <c r="BJ98" s="79">
        <f>BI98*Weekly_Prices_VND!BH98</f>
        <v/>
      </c>
    </row>
    <row r="99" ht="19" customHeight="1">
      <c r="A99" s="74" t="n">
        <v>98</v>
      </c>
      <c r="B99" s="50" t="inlineStr">
        <is>
          <t>CMG</t>
        </is>
      </c>
      <c r="C99" s="51" t="inlineStr">
        <is>
          <t>Công Nghệ, Năng Lượng &amp; Tiện Ích</t>
        </is>
      </c>
      <c r="D99" s="74" t="inlineStr">
        <is>
          <t>HOSE</t>
        </is>
      </c>
      <c r="E99" s="53" t="n">
        <v>32.59259240397805</v>
      </c>
      <c r="F99" s="53" t="n">
        <v>30.38674131517852</v>
      </c>
      <c r="G99" s="53" t="n">
        <v>33.13252992556635</v>
      </c>
      <c r="H99" s="53" t="n">
        <v>32.06997066286688</v>
      </c>
      <c r="I99" s="53" t="n">
        <v>31.11739779788497</v>
      </c>
      <c r="J99" s="53" t="n">
        <v>30.98591617486611</v>
      </c>
      <c r="K99" s="53" t="n">
        <v>30.38674131517852</v>
      </c>
      <c r="L99" s="53" t="n">
        <v>30.13698791400834</v>
      </c>
      <c r="M99" s="53" t="n">
        <v>26.96078353934637</v>
      </c>
      <c r="N99" s="53" t="n">
        <v>25.58139465166984</v>
      </c>
      <c r="O99" s="53" t="n">
        <v>26.41056397799216</v>
      </c>
      <c r="P99" s="53" t="n">
        <v>25.49246767286233</v>
      </c>
      <c r="Q99" s="53" t="n">
        <v>27.09359684114061</v>
      </c>
      <c r="R99" s="53" t="n">
        <v>27.02702702702703</v>
      </c>
      <c r="S99" s="53" t="n">
        <v>23.93906460723382</v>
      </c>
      <c r="T99" s="53" t="n">
        <v>26.37889762380745</v>
      </c>
      <c r="U99" s="53" t="n">
        <v>26.8948668100009</v>
      </c>
      <c r="V99" s="53" t="n">
        <v>26.28434984633923</v>
      </c>
      <c r="W99" s="53" t="n">
        <v>27.56892284556945</v>
      </c>
      <c r="X99" s="53" t="n">
        <v>26.50602359740166</v>
      </c>
      <c r="Y99" s="53" t="n">
        <v>27.56892284556945</v>
      </c>
      <c r="Z99" s="53" t="n">
        <v>27.77777777777778</v>
      </c>
      <c r="AA99" s="53" t="n">
        <v>27.77777777777778</v>
      </c>
      <c r="AB99" s="53" t="n">
        <v>28.94736961132276</v>
      </c>
      <c r="AC99" s="53" t="n">
        <v>29.25532066859835</v>
      </c>
      <c r="AD99" s="53" t="n">
        <v>26.63438357424272</v>
      </c>
      <c r="AE99" s="53" t="n">
        <v>28.31402689058343</v>
      </c>
      <c r="AF99" s="53" t="n">
        <v>28.87139137212302</v>
      </c>
      <c r="AG99" s="53" t="n">
        <v>28.94736961132276</v>
      </c>
      <c r="AH99" s="53" t="n">
        <v>29.41176470588235</v>
      </c>
      <c r="AI99" s="53" t="n">
        <v>29.97275172457476</v>
      </c>
      <c r="AJ99" s="53" t="n">
        <v>30.72625648034453</v>
      </c>
      <c r="AK99" s="53" t="n">
        <v>31.25</v>
      </c>
      <c r="AL99" s="53" t="n">
        <v>31.51862393627722</v>
      </c>
      <c r="AM99" s="53" t="n">
        <v>30.89887606545299</v>
      </c>
      <c r="AN99" s="53" t="n">
        <v>29.68961020209231</v>
      </c>
      <c r="AO99" s="53" t="n">
        <v>26.38522427440633</v>
      </c>
      <c r="AP99" s="53" t="n">
        <v>27.77777777777778</v>
      </c>
      <c r="AQ99" s="53" t="n">
        <v>27.93296089385475</v>
      </c>
      <c r="AR99" s="53" t="n">
        <v>28.77697841726619</v>
      </c>
      <c r="AS99" s="53" t="n">
        <v>29.32551319648094</v>
      </c>
      <c r="AT99" s="53" t="n">
        <v>29.32551319648094</v>
      </c>
      <c r="AU99" s="53" t="n">
        <v>28.73563218390805</v>
      </c>
      <c r="AV99" s="53" t="n">
        <v>31.84713375796178</v>
      </c>
      <c r="AW99" s="53" t="n">
        <v>34.01360544217687</v>
      </c>
      <c r="AX99" s="53" t="n">
        <v>33.78378378378378</v>
      </c>
      <c r="AY99" s="53" t="n">
        <v>34.30531732418525</v>
      </c>
      <c r="AZ99" s="53" t="n">
        <v>35.1493848857645</v>
      </c>
      <c r="BA99" s="53" t="n">
        <v>34.60207612456747</v>
      </c>
      <c r="BB99" s="53" t="n">
        <v>34.78260869565217</v>
      </c>
      <c r="BC99" s="53" t="n">
        <v>35.97122302158273</v>
      </c>
      <c r="BD99" s="53" t="n">
        <v>35.97122302158273</v>
      </c>
      <c r="BE99" s="53" t="n">
        <v>36.03603603603604</v>
      </c>
      <c r="BF99" s="53" t="n">
        <v>36.10108303249098</v>
      </c>
      <c r="BG99" s="53" t="n">
        <v>35.52397868561279</v>
      </c>
      <c r="BH99" s="53" t="n">
        <v>37.03703703703704</v>
      </c>
      <c r="BI99" s="78">
        <f>SUM(E99:BH99)</f>
        <v/>
      </c>
      <c r="BJ99" s="79">
        <f>BI99*Weekly_Prices_VND!BH99</f>
        <v/>
      </c>
    </row>
    <row r="100" ht="19" customHeight="1">
      <c r="A100" s="74" t="n">
        <v>99</v>
      </c>
      <c r="B100" s="50" t="inlineStr">
        <is>
          <t>ELC</t>
        </is>
      </c>
      <c r="C100" s="51" t="inlineStr">
        <is>
          <t>Công Nghệ, Năng Lượng &amp; Tiện Ích</t>
        </is>
      </c>
      <c r="D100" s="74" t="inlineStr">
        <is>
          <t>HOSE</t>
        </is>
      </c>
      <c r="E100" s="53" t="n">
        <v>50.3811650014642</v>
      </c>
      <c r="F100" s="53" t="n">
        <v>49.27631665692529</v>
      </c>
      <c r="G100" s="53" t="n">
        <v>50.72234765215961</v>
      </c>
      <c r="H100" s="53" t="n">
        <v>50.3811650014642</v>
      </c>
      <c r="I100" s="53" t="n">
        <v>47.70700741396712</v>
      </c>
      <c r="J100" s="53" t="n">
        <v>49.49339355029549</v>
      </c>
      <c r="K100" s="53" t="n">
        <v>50.26845515022904</v>
      </c>
      <c r="L100" s="53" t="n">
        <v>51.06818280653976</v>
      </c>
      <c r="M100" s="53" t="n">
        <v>50.26845515022904</v>
      </c>
      <c r="N100" s="53" t="n">
        <v>48.63636272961327</v>
      </c>
      <c r="O100" s="53" t="n">
        <v>48.21888208100641</v>
      </c>
      <c r="P100" s="53" t="n">
        <v>48.53131630105302</v>
      </c>
      <c r="Q100" s="53" t="n">
        <v>46.81249857139592</v>
      </c>
      <c r="R100" s="53" t="n">
        <v>47.91044938130018</v>
      </c>
      <c r="S100" s="53" t="n">
        <v>47.30526308009003</v>
      </c>
      <c r="T100" s="53" t="n">
        <v>50.3811650014642</v>
      </c>
      <c r="U100" s="53" t="n">
        <v>50.95238161582342</v>
      </c>
      <c r="V100" s="53" t="n">
        <v>51.06818280653976</v>
      </c>
      <c r="W100" s="53" t="n">
        <v>51.41876628302777</v>
      </c>
      <c r="X100" s="53" t="n">
        <v>47.20588200041563</v>
      </c>
      <c r="Y100" s="53" t="n">
        <v>47.91044938130018</v>
      </c>
      <c r="Z100" s="53" t="n">
        <v>49.49339355029549</v>
      </c>
      <c r="AA100" s="53" t="n">
        <v>49.93333120076398</v>
      </c>
      <c r="AB100" s="53" t="n">
        <v>49.76744412097766</v>
      </c>
      <c r="AC100" s="53" t="n">
        <v>50.47169843869941</v>
      </c>
      <c r="AD100" s="53" t="n">
        <v>49.19540057595131</v>
      </c>
      <c r="AE100" s="53" t="n">
        <v>50.83135575863167</v>
      </c>
      <c r="AF100" s="53" t="n">
        <v>52.19512085719068</v>
      </c>
      <c r="AG100" s="53" t="n">
        <v>52.32273603762168</v>
      </c>
      <c r="AH100" s="53" t="n">
        <v>51.69081984164234</v>
      </c>
      <c r="AI100" s="53" t="n">
        <v>48.52607726943763</v>
      </c>
      <c r="AJ100" s="53" t="n">
        <v>46.62309471354206</v>
      </c>
      <c r="AK100" s="53" t="n">
        <v>44.76987323305465</v>
      </c>
      <c r="AL100" s="53" t="n">
        <v>44.86373341969602</v>
      </c>
      <c r="AM100" s="53" t="n">
        <v>43.4959347866809</v>
      </c>
      <c r="AN100" s="53" t="n">
        <v>44.95798404184745</v>
      </c>
      <c r="AO100" s="53" t="n">
        <v>40</v>
      </c>
      <c r="AP100" s="53" t="n">
        <v>42.79999936468751</v>
      </c>
      <c r="AQ100" s="53" t="n">
        <v>43.85245908659782</v>
      </c>
      <c r="AR100" s="53" t="n">
        <v>46.52174114521807</v>
      </c>
      <c r="AS100" s="53" t="n">
        <v>46.52174114521807</v>
      </c>
      <c r="AT100" s="53" t="n">
        <v>46.52174114521807</v>
      </c>
      <c r="AU100" s="53" t="n">
        <v>52.45098214976292</v>
      </c>
      <c r="AV100" s="53" t="n">
        <v>56.31578814220484</v>
      </c>
      <c r="AW100" s="53" t="n">
        <v>60.45197533323266</v>
      </c>
      <c r="AX100" s="53" t="n">
        <v>60.62323288308347</v>
      </c>
      <c r="AY100" s="53" t="n">
        <v>58.31062502726193</v>
      </c>
      <c r="AZ100" s="53" t="n">
        <v>58.95316677528481</v>
      </c>
      <c r="BA100" s="53" t="n">
        <v>59.77653383433541</v>
      </c>
      <c r="BB100" s="53" t="n">
        <v>59.27978076669829</v>
      </c>
      <c r="BC100" s="53" t="n">
        <v>59.94398047699486</v>
      </c>
      <c r="BD100" s="53" t="n">
        <v>60.79545629958481</v>
      </c>
      <c r="BE100" s="53" t="n">
        <v>62.94117600055418</v>
      </c>
      <c r="BF100" s="53" t="n">
        <v>64.45783189410031</v>
      </c>
      <c r="BG100" s="53" t="n">
        <v>64.84848569286618</v>
      </c>
      <c r="BH100" s="53" t="n">
        <v>66.87499795913702</v>
      </c>
      <c r="BI100" s="78">
        <f>SUM(E100:BH100)</f>
        <v/>
      </c>
      <c r="BJ100" s="79">
        <f>BI100*Weekly_Prices_VND!BH100</f>
        <v/>
      </c>
    </row>
    <row r="101" ht="19" customHeight="1">
      <c r="A101" s="75" t="n">
        <v>100</v>
      </c>
      <c r="B101" s="56" t="inlineStr">
        <is>
          <t>PVD</t>
        </is>
      </c>
      <c r="C101" s="57" t="inlineStr">
        <is>
          <t>Dầu Khí, Cảng Biển &amp; Logistics</t>
        </is>
      </c>
      <c r="D101" s="75" t="inlineStr">
        <is>
          <t>HOSE</t>
        </is>
      </c>
      <c r="E101" s="59" t="n">
        <v>90.46070648398316</v>
      </c>
      <c r="F101" s="59" t="n">
        <v>88.07387678068994</v>
      </c>
      <c r="G101" s="59" t="n">
        <v>92.20994367179095</v>
      </c>
      <c r="H101" s="59" t="n">
        <v>88.77659266420982</v>
      </c>
      <c r="I101" s="59" t="n">
        <v>86.03092946337536</v>
      </c>
      <c r="J101" s="59" t="n">
        <v>86.25323123219395</v>
      </c>
      <c r="K101" s="59" t="n">
        <v>78.35680874755823</v>
      </c>
      <c r="L101" s="59" t="n">
        <v>83.44999898539797</v>
      </c>
      <c r="M101" s="59" t="n">
        <v>83.86934499270116</v>
      </c>
      <c r="N101" s="59" t="n">
        <v>80.62801666102375</v>
      </c>
      <c r="O101" s="59" t="n">
        <v>81.8137272408632</v>
      </c>
      <c r="P101" s="59" t="n">
        <v>78.54117739821152</v>
      </c>
      <c r="Q101" s="59" t="n">
        <v>78.91252985324967</v>
      </c>
      <c r="R101" s="59" t="n">
        <v>77.62790941672026</v>
      </c>
      <c r="S101" s="59" t="n">
        <v>72.88209541718238</v>
      </c>
      <c r="T101" s="59" t="n">
        <v>76.38443810294474</v>
      </c>
      <c r="U101" s="59" t="n">
        <v>77.62790941672026</v>
      </c>
      <c r="V101" s="59" t="n">
        <v>74.34298659590144</v>
      </c>
      <c r="W101" s="59" t="n">
        <v>73.04157456521182</v>
      </c>
      <c r="X101" s="59" t="n">
        <v>72.56521728038605</v>
      </c>
      <c r="Y101" s="59" t="n">
        <v>72.56521728038605</v>
      </c>
      <c r="Z101" s="59" t="n">
        <v>77.80885995203053</v>
      </c>
      <c r="AA101" s="59" t="n">
        <v>76.38443810294474</v>
      </c>
      <c r="AB101" s="59" t="n">
        <v>81.41463655480608</v>
      </c>
      <c r="AC101" s="59" t="n">
        <v>83.034825568077</v>
      </c>
      <c r="AD101" s="59" t="n">
        <v>82.41975382571731</v>
      </c>
      <c r="AE101" s="59" t="n">
        <v>67.57084909106651</v>
      </c>
      <c r="AF101" s="59" t="n">
        <v>62.50936266943303</v>
      </c>
      <c r="AG101" s="59" t="n">
        <v>64.81553334638927</v>
      </c>
      <c r="AH101" s="59" t="n">
        <v>62.50936266943303</v>
      </c>
      <c r="AI101" s="59" t="n">
        <v>64.06909852275679</v>
      </c>
      <c r="AJ101" s="59" t="n">
        <v>70.72033704870636</v>
      </c>
      <c r="AK101" s="59" t="n">
        <v>60.47101725715277</v>
      </c>
      <c r="AL101" s="59" t="n">
        <v>61.02376422705894</v>
      </c>
      <c r="AM101" s="59" t="n">
        <v>58.87125408649291</v>
      </c>
      <c r="AN101" s="59" t="n">
        <v>56.57627354628259</v>
      </c>
      <c r="AO101" s="59" t="n">
        <v>57.75086547341949</v>
      </c>
      <c r="AP101" s="59" t="n">
        <v>60.47101725715277</v>
      </c>
      <c r="AQ101" s="59" t="n">
        <v>53.83871057970622</v>
      </c>
      <c r="AR101" s="59" t="n">
        <v>50.80669521103236</v>
      </c>
      <c r="AS101" s="59" t="n">
        <v>48.87262219658955</v>
      </c>
      <c r="AT101" s="59" t="n">
        <v>48.87262219658955</v>
      </c>
      <c r="AU101" s="59" t="n">
        <v>43.23834241085174</v>
      </c>
      <c r="AV101" s="59" t="n">
        <v>39.45626492662483</v>
      </c>
      <c r="AW101" s="59" t="n">
        <v>41.72499949269898</v>
      </c>
      <c r="AX101" s="59" t="n">
        <v>48.72992864682128</v>
      </c>
      <c r="AY101" s="59" t="n">
        <v>46.68531526173958</v>
      </c>
      <c r="AZ101" s="59" t="n">
        <v>49.67261670882048</v>
      </c>
      <c r="BA101" s="59" t="n">
        <v>49.23303679082912</v>
      </c>
      <c r="BB101" s="59" t="n">
        <v>50.12012187804012</v>
      </c>
      <c r="BC101" s="59" t="n">
        <v>53.15286827203555</v>
      </c>
      <c r="BD101" s="59" t="n">
        <v>53.83871057970622</v>
      </c>
      <c r="BE101" s="59" t="n">
        <v>54.18831200444683</v>
      </c>
      <c r="BF101" s="59" t="n">
        <v>49.5252204767054</v>
      </c>
      <c r="BG101" s="59" t="n">
        <v>52.90015818387145</v>
      </c>
      <c r="BH101" s="59" t="n">
        <v>54.72131088320302</v>
      </c>
      <c r="BI101" s="78">
        <f>SUM(E101:BH101)</f>
        <v/>
      </c>
      <c r="BJ101" s="79">
        <f>BI101*Weekly_Prices_VND!BH101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2026-09-19T18:11:02Z</dcterms:created>
  <dcterms:modified xsi:type="dcterms:W3CDTF">2026-09-19T18:11:03Z</dcterms:modified>
</cp:coreProperties>
</file>